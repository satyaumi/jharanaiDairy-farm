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apatro/Desktop/"/>
    </mc:Choice>
  </mc:AlternateContent>
  <xr:revisionPtr revIDLastSave="0" documentId="13_ncr:1_{030F736C-A40D-CD4A-A4BC-C99136D8110C}" xr6:coauthVersionLast="47" xr6:coauthVersionMax="47" xr10:uidLastSave="{00000000-0000-0000-0000-000000000000}"/>
  <bookViews>
    <workbookView xWindow="0" yWindow="600" windowWidth="28160" windowHeight="15780" xr2:uid="{A00C519A-A878-604A-8846-294213284DF0}"/>
  </bookViews>
  <sheets>
    <sheet name="Summary" sheetId="8" r:id="rId1"/>
    <sheet name="New Heading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6" i="8" l="1"/>
  <c r="AE43" i="8"/>
  <c r="AE55" i="8"/>
  <c r="AE61" i="8"/>
  <c r="AE69" i="8"/>
  <c r="AJ265" i="8"/>
  <c r="AI265" i="8"/>
  <c r="AJ269" i="8"/>
  <c r="AI269" i="8"/>
  <c r="AJ216" i="8"/>
  <c r="AI216" i="8"/>
  <c r="AJ215" i="8"/>
  <c r="AI215" i="8"/>
  <c r="AJ214" i="8"/>
  <c r="AI214" i="8"/>
  <c r="AJ261" i="8"/>
  <c r="AI261" i="8"/>
  <c r="AJ260" i="8"/>
  <c r="AI260" i="8"/>
  <c r="AJ259" i="8"/>
  <c r="AI259" i="8"/>
  <c r="AJ256" i="8"/>
  <c r="AI256" i="8"/>
  <c r="AJ213" i="8"/>
  <c r="AI213" i="8"/>
  <c r="AJ254" i="8"/>
  <c r="AI254" i="8"/>
  <c r="AJ253" i="8"/>
  <c r="AI253" i="8"/>
  <c r="AJ251" i="8"/>
  <c r="AI251" i="8"/>
  <c r="AJ250" i="8"/>
  <c r="AI250" i="8"/>
  <c r="AJ249" i="8"/>
  <c r="AI249" i="8"/>
  <c r="AJ248" i="8"/>
  <c r="AI248" i="8"/>
  <c r="AJ246" i="8"/>
  <c r="AI246" i="8"/>
  <c r="AJ245" i="8"/>
  <c r="AI245" i="8"/>
  <c r="AJ244" i="8"/>
  <c r="AI244" i="8"/>
  <c r="AJ243" i="8"/>
  <c r="AI243" i="8"/>
  <c r="AJ242" i="8"/>
  <c r="AI242" i="8"/>
  <c r="AJ241" i="8"/>
  <c r="AI241" i="8"/>
  <c r="AJ240" i="8"/>
  <c r="AI240" i="8"/>
  <c r="AJ239" i="8"/>
  <c r="AI239" i="8"/>
  <c r="AJ238" i="8"/>
  <c r="AI238" i="8"/>
  <c r="AJ236" i="8"/>
  <c r="AI236" i="8"/>
  <c r="AJ235" i="8"/>
  <c r="AI235" i="8"/>
  <c r="AJ234" i="8"/>
  <c r="AI234" i="8"/>
  <c r="AJ232" i="8"/>
  <c r="AI232" i="8"/>
  <c r="AJ231" i="8"/>
  <c r="AI231" i="8"/>
  <c r="AJ229" i="8"/>
  <c r="AI229" i="8"/>
  <c r="AJ228" i="8"/>
  <c r="AI228" i="8"/>
  <c r="AJ227" i="8"/>
  <c r="AI227" i="8"/>
  <c r="AJ226" i="8"/>
  <c r="AI226" i="8"/>
  <c r="AJ224" i="8"/>
  <c r="AI224" i="8"/>
  <c r="AJ222" i="8"/>
  <c r="AI222" i="8"/>
  <c r="AJ219" i="8"/>
  <c r="AI219" i="8"/>
  <c r="AJ160" i="8"/>
  <c r="AI160" i="8"/>
  <c r="AJ204" i="8"/>
  <c r="AI204" i="8"/>
  <c r="AJ201" i="8"/>
  <c r="AI201" i="8"/>
  <c r="AJ196" i="8"/>
  <c r="AI196" i="8"/>
  <c r="AJ194" i="8"/>
  <c r="AI194" i="8"/>
  <c r="AJ188" i="8"/>
  <c r="AI188" i="8"/>
  <c r="AJ186" i="8"/>
  <c r="AI186" i="8"/>
  <c r="AJ185" i="8"/>
  <c r="AI185" i="8"/>
  <c r="AJ159" i="8"/>
  <c r="AI159" i="8"/>
  <c r="AJ178" i="8"/>
  <c r="AI178" i="8"/>
  <c r="AJ175" i="8"/>
  <c r="AI175" i="8"/>
  <c r="AJ173" i="8"/>
  <c r="AI173" i="8"/>
  <c r="AJ172" i="8"/>
  <c r="AI172" i="8"/>
  <c r="AJ171" i="8"/>
  <c r="AI171" i="8"/>
  <c r="AJ169" i="8"/>
  <c r="AI169" i="8"/>
  <c r="AJ168" i="8"/>
  <c r="AI168" i="8"/>
  <c r="AJ165" i="8"/>
  <c r="AI165" i="8"/>
  <c r="AJ157" i="8"/>
  <c r="AI157" i="8"/>
  <c r="AJ155" i="8"/>
  <c r="AI155" i="8"/>
  <c r="AJ153" i="8"/>
  <c r="AI153" i="8"/>
  <c r="AJ152" i="8"/>
  <c r="AI152" i="8"/>
  <c r="AJ149" i="8"/>
  <c r="AI149" i="8"/>
  <c r="AJ148" i="8"/>
  <c r="AI148" i="8"/>
  <c r="AJ147" i="8"/>
  <c r="AI147" i="8"/>
  <c r="AJ145" i="8"/>
  <c r="AI145" i="8"/>
  <c r="AJ141" i="8"/>
  <c r="AI141" i="8"/>
  <c r="AJ137" i="8"/>
  <c r="AI137" i="8"/>
  <c r="AJ135" i="8"/>
  <c r="AI135" i="8"/>
  <c r="AJ134" i="8"/>
  <c r="AI134" i="8"/>
  <c r="AJ132" i="8"/>
  <c r="AI132" i="8"/>
  <c r="AJ131" i="8"/>
  <c r="AI131" i="8"/>
  <c r="AJ129" i="8"/>
  <c r="AI129" i="8"/>
  <c r="AJ125" i="8"/>
  <c r="AI125" i="8"/>
  <c r="AJ118" i="8"/>
  <c r="AI118" i="8"/>
  <c r="AJ117" i="8"/>
  <c r="AI117" i="8"/>
  <c r="AJ96" i="8"/>
  <c r="AI96" i="8"/>
  <c r="AJ115" i="8"/>
  <c r="AI115" i="8"/>
  <c r="AJ114" i="8"/>
  <c r="AI114" i="8"/>
  <c r="AJ113" i="8"/>
  <c r="AI113" i="8"/>
  <c r="AJ111" i="8"/>
  <c r="AI111" i="8"/>
  <c r="AJ110" i="8"/>
  <c r="AI110" i="8"/>
  <c r="AJ109" i="8"/>
  <c r="AI109" i="8"/>
  <c r="AJ108" i="8"/>
  <c r="AI108" i="8"/>
  <c r="AJ106" i="8"/>
  <c r="AI106" i="8"/>
  <c r="AJ105" i="8"/>
  <c r="AI105" i="8"/>
  <c r="AJ104" i="8"/>
  <c r="AI104" i="8"/>
  <c r="AJ103" i="8"/>
  <c r="AI103" i="8"/>
  <c r="AJ93" i="8"/>
  <c r="AI93" i="8"/>
  <c r="AJ102" i="8"/>
  <c r="AI102" i="8"/>
  <c r="AJ92" i="8"/>
  <c r="AI92" i="8"/>
  <c r="AJ89" i="8"/>
  <c r="AI89" i="8"/>
  <c r="AJ85" i="8"/>
  <c r="AI85" i="8"/>
  <c r="AJ84" i="8"/>
  <c r="AI84" i="8"/>
  <c r="AJ81" i="8"/>
  <c r="AI81" i="8"/>
  <c r="AJ80" i="8"/>
  <c r="AI80" i="8"/>
  <c r="AJ79" i="8"/>
  <c r="AI79" i="8"/>
  <c r="AJ77" i="8"/>
  <c r="AI77" i="8"/>
  <c r="AJ76" i="8"/>
  <c r="AI76" i="8"/>
  <c r="AJ65" i="8"/>
  <c r="AI65" i="8"/>
  <c r="AJ70" i="8"/>
  <c r="AI70" i="8"/>
  <c r="AJ64" i="8"/>
  <c r="AI64" i="8"/>
  <c r="AJ63" i="8"/>
  <c r="AI63" i="8"/>
  <c r="AJ60" i="8"/>
  <c r="AI60" i="8"/>
  <c r="AJ58" i="8"/>
  <c r="AI58" i="8"/>
  <c r="AJ40" i="8"/>
  <c r="AI40" i="8"/>
  <c r="AJ57" i="8"/>
  <c r="AI57" i="8"/>
  <c r="AJ54" i="8"/>
  <c r="AI54" i="8"/>
  <c r="AJ51" i="8"/>
  <c r="AI51" i="8"/>
  <c r="AJ50" i="8"/>
  <c r="AI50" i="8"/>
  <c r="AJ48" i="8"/>
  <c r="AI48" i="8"/>
  <c r="AJ45" i="8"/>
  <c r="AI45" i="8"/>
  <c r="AJ42" i="8"/>
  <c r="AI42" i="8"/>
  <c r="AJ38" i="8"/>
  <c r="AI38" i="8"/>
  <c r="AJ37" i="8"/>
  <c r="AI37" i="8"/>
  <c r="AJ34" i="8"/>
  <c r="AI34" i="8"/>
  <c r="AJ31" i="8"/>
  <c r="AI31" i="8"/>
  <c r="AJ29" i="8"/>
  <c r="AI29" i="8"/>
  <c r="AJ28" i="8"/>
  <c r="AI28" i="8"/>
  <c r="AJ25" i="8"/>
  <c r="AI25" i="8"/>
  <c r="AJ22" i="8"/>
  <c r="AI22" i="8"/>
  <c r="AJ21" i="8"/>
  <c r="AI21" i="8"/>
  <c r="AJ20" i="8"/>
  <c r="AI20" i="8"/>
  <c r="AD225" i="8"/>
  <c r="AD223" i="8"/>
  <c r="AD218" i="8"/>
  <c r="AE156" i="8"/>
  <c r="AD156" i="8"/>
  <c r="AE144" i="8"/>
  <c r="AD144" i="8"/>
  <c r="AE143" i="8"/>
  <c r="AD143" i="8"/>
  <c r="AE124" i="8"/>
  <c r="AD124" i="8"/>
  <c r="AE116" i="8"/>
  <c r="AD116" i="8"/>
  <c r="AE94" i="8"/>
  <c r="AD94" i="8"/>
  <c r="AE107" i="8"/>
  <c r="AD107" i="8"/>
  <c r="AE91" i="8"/>
  <c r="AD91" i="8"/>
  <c r="AE74" i="8"/>
  <c r="AD74" i="8"/>
  <c r="AD69" i="8"/>
  <c r="AD61" i="8"/>
  <c r="AD55" i="8"/>
  <c r="AD43" i="8"/>
  <c r="AD36" i="8"/>
  <c r="AE17" i="8"/>
  <c r="AD17" i="8"/>
  <c r="AN252" i="8"/>
  <c r="AN268" i="8"/>
  <c r="AN270" i="8"/>
  <c r="AN271" i="8"/>
  <c r="AN272" i="8"/>
  <c r="AN274" i="8"/>
  <c r="AN275" i="8"/>
  <c r="AN276" i="8"/>
  <c r="AN277" i="8"/>
  <c r="AN278" i="8"/>
  <c r="AN279" i="8"/>
  <c r="AN280" i="8"/>
  <c r="AN281" i="8"/>
  <c r="AN282" i="8"/>
  <c r="AN283" i="8"/>
  <c r="AN284" i="8"/>
  <c r="AN285" i="8"/>
  <c r="AN286" i="8"/>
  <c r="AN287" i="8"/>
  <c r="AN288" i="8"/>
  <c r="AN289" i="8"/>
  <c r="AN290" i="8"/>
  <c r="AN291" i="8"/>
  <c r="AN292" i="8"/>
  <c r="AN293" i="8"/>
  <c r="AN294" i="8"/>
  <c r="AN295" i="8"/>
  <c r="AN296" i="8"/>
  <c r="AN297" i="8"/>
  <c r="AN298" i="8"/>
  <c r="AN299" i="8"/>
  <c r="AN300" i="8"/>
  <c r="AN301" i="8"/>
  <c r="AN302" i="8"/>
  <c r="AN303" i="8"/>
  <c r="AN304" i="8"/>
  <c r="AN305" i="8"/>
  <c r="AN306" i="8"/>
  <c r="AN307" i="8"/>
  <c r="AN308" i="8"/>
  <c r="AN309" i="8"/>
  <c r="AN310" i="8"/>
  <c r="AN311" i="8"/>
  <c r="AN312" i="8"/>
  <c r="AN313" i="8"/>
  <c r="AN314" i="8"/>
  <c r="AN315" i="8"/>
  <c r="AN316" i="8"/>
  <c r="AN317" i="8"/>
  <c r="AN318" i="8"/>
  <c r="AN319" i="8"/>
  <c r="AN321" i="8"/>
  <c r="AN322" i="8"/>
  <c r="AN323" i="8"/>
  <c r="AN324" i="8"/>
  <c r="AN326" i="8"/>
  <c r="AN328" i="8"/>
  <c r="AN330" i="8"/>
  <c r="AN331" i="8"/>
  <c r="AN332" i="8"/>
  <c r="AN333" i="8"/>
  <c r="AN334" i="8"/>
  <c r="AN335" i="8"/>
  <c r="AN337" i="8"/>
  <c r="AN339" i="8"/>
  <c r="AN340" i="8"/>
  <c r="AN341" i="8"/>
  <c r="AN342" i="8"/>
  <c r="AN343" i="8"/>
  <c r="AN344" i="8"/>
  <c r="AN345" i="8"/>
  <c r="AN346" i="8"/>
  <c r="AN347" i="8"/>
  <c r="AN348" i="8"/>
  <c r="AN349" i="8"/>
  <c r="AN350" i="8"/>
  <c r="AN351" i="8"/>
  <c r="AN352" i="8"/>
</calcChain>
</file>

<file path=xl/sharedStrings.xml><?xml version="1.0" encoding="utf-8"?>
<sst xmlns="http://schemas.openxmlformats.org/spreadsheetml/2006/main" count="3380" uniqueCount="612">
  <si>
    <t>BULL USED</t>
  </si>
  <si>
    <t>LAST CALVING DATE</t>
  </si>
  <si>
    <t>DATE OF A.I</t>
  </si>
  <si>
    <t>DATE OF CALVING</t>
  </si>
  <si>
    <t>TIME</t>
  </si>
  <si>
    <t>CALVING DETAILS</t>
  </si>
  <si>
    <t>PLACENTA</t>
  </si>
  <si>
    <t>SEX OF CALF</t>
  </si>
  <si>
    <t>GESTATION PERIOD</t>
  </si>
  <si>
    <t>INTER CALVING PERIOD</t>
  </si>
  <si>
    <t>REMARKS</t>
  </si>
  <si>
    <t>H-19</t>
  </si>
  <si>
    <t>BEAST</t>
  </si>
  <si>
    <t>HEIFER</t>
  </si>
  <si>
    <t>NORMAL</t>
  </si>
  <si>
    <t>FELL DOWN</t>
  </si>
  <si>
    <t>J-59</t>
  </si>
  <si>
    <t>FEMALE</t>
  </si>
  <si>
    <t>CBHF</t>
  </si>
  <si>
    <t>E-52</t>
  </si>
  <si>
    <t>SPIKE</t>
  </si>
  <si>
    <t>MALE</t>
  </si>
  <si>
    <t>F-2</t>
  </si>
  <si>
    <t>J-60</t>
  </si>
  <si>
    <t>C-41</t>
  </si>
  <si>
    <t>STRYKER</t>
  </si>
  <si>
    <t>J-61</t>
  </si>
  <si>
    <t>C-57</t>
  </si>
  <si>
    <t>J-62</t>
  </si>
  <si>
    <t>C-17</t>
  </si>
  <si>
    <t>J-63</t>
  </si>
  <si>
    <t>H-17</t>
  </si>
  <si>
    <t>D-13</t>
  </si>
  <si>
    <t>REMOVED</t>
  </si>
  <si>
    <t>J-64</t>
  </si>
  <si>
    <t>B-45</t>
  </si>
  <si>
    <t>J-65</t>
  </si>
  <si>
    <t>D-50</t>
  </si>
  <si>
    <t>E-28</t>
  </si>
  <si>
    <t>H-11</t>
  </si>
  <si>
    <t>J-66</t>
  </si>
  <si>
    <t>F-70</t>
  </si>
  <si>
    <t>D-22</t>
  </si>
  <si>
    <t>J-67</t>
  </si>
  <si>
    <t>E-3</t>
  </si>
  <si>
    <t xml:space="preserve">MALE </t>
  </si>
  <si>
    <t>F-44</t>
  </si>
  <si>
    <t>J-68</t>
  </si>
  <si>
    <t>A-18</t>
  </si>
  <si>
    <t>HULK</t>
  </si>
  <si>
    <t>F-43</t>
  </si>
  <si>
    <t>S.N</t>
  </si>
  <si>
    <t>Cow No.</t>
  </si>
  <si>
    <t>Breed</t>
  </si>
  <si>
    <t>Date of Birth</t>
  </si>
  <si>
    <t>LacNo.</t>
  </si>
  <si>
    <t>Sire</t>
  </si>
  <si>
    <t>Dam</t>
  </si>
  <si>
    <t>Last Calving Date</t>
  </si>
  <si>
    <t>Remarks</t>
  </si>
  <si>
    <t>Best</t>
  </si>
  <si>
    <t>HF</t>
  </si>
  <si>
    <t>MILKING N-P</t>
  </si>
  <si>
    <t>JY</t>
  </si>
  <si>
    <t>DRY NON-PREG</t>
  </si>
  <si>
    <t>A-34</t>
  </si>
  <si>
    <t>B-4</t>
  </si>
  <si>
    <t>B-11</t>
  </si>
  <si>
    <t>DRY PREG</t>
  </si>
  <si>
    <t>B-13</t>
  </si>
  <si>
    <t>MILKING PREG</t>
  </si>
  <si>
    <t>B-16</t>
  </si>
  <si>
    <t>B-17</t>
  </si>
  <si>
    <t>HF-JY</t>
  </si>
  <si>
    <t>B-20</t>
  </si>
  <si>
    <t>CBHF-3</t>
  </si>
  <si>
    <t>B-22</t>
  </si>
  <si>
    <t>B-23</t>
  </si>
  <si>
    <t>B-28</t>
  </si>
  <si>
    <t>B-30</t>
  </si>
  <si>
    <t>B-31</t>
  </si>
  <si>
    <t>B-33</t>
  </si>
  <si>
    <t xml:space="preserve">ANUJ </t>
  </si>
  <si>
    <t>B-34</t>
  </si>
  <si>
    <t>CBJY</t>
  </si>
  <si>
    <t>Q-803</t>
  </si>
  <si>
    <t>B-38</t>
  </si>
  <si>
    <t xml:space="preserve">HOOK </t>
  </si>
  <si>
    <t>B-41</t>
  </si>
  <si>
    <t>ANUJ</t>
  </si>
  <si>
    <t>B-43</t>
  </si>
  <si>
    <t xml:space="preserve">AVI </t>
  </si>
  <si>
    <t xml:space="preserve">HETHRO </t>
  </si>
  <si>
    <t>B-48</t>
  </si>
  <si>
    <t xml:space="preserve">ALBERT </t>
  </si>
  <si>
    <t>B-52</t>
  </si>
  <si>
    <t>AVISKAR</t>
  </si>
  <si>
    <t>B-54</t>
  </si>
  <si>
    <t>HOST</t>
  </si>
  <si>
    <t>C-5</t>
  </si>
  <si>
    <t>ARPIT</t>
  </si>
  <si>
    <t>C-7</t>
  </si>
  <si>
    <t>C-12</t>
  </si>
  <si>
    <t>JEMS</t>
  </si>
  <si>
    <t>AVI</t>
  </si>
  <si>
    <t>C-18</t>
  </si>
  <si>
    <t>HOOKAR</t>
  </si>
  <si>
    <t>C-20</t>
  </si>
  <si>
    <t>C-22</t>
  </si>
  <si>
    <t>C-23</t>
  </si>
  <si>
    <t>C-27</t>
  </si>
  <si>
    <t>HAMBURG</t>
  </si>
  <si>
    <t>C-33</t>
  </si>
  <si>
    <t>C-34</t>
  </si>
  <si>
    <t>AULAD</t>
  </si>
  <si>
    <t>C-36</t>
  </si>
  <si>
    <t>HOOK</t>
  </si>
  <si>
    <t>C-37</t>
  </si>
  <si>
    <t>C-38</t>
  </si>
  <si>
    <t>C-39</t>
  </si>
  <si>
    <t>C-42</t>
  </si>
  <si>
    <t>C-45</t>
  </si>
  <si>
    <t>HETHRO</t>
  </si>
  <si>
    <t>C-50</t>
  </si>
  <si>
    <t>ALLROUND</t>
  </si>
  <si>
    <t>C-54</t>
  </si>
  <si>
    <t>C-55</t>
  </si>
  <si>
    <t>ADIDAS</t>
  </si>
  <si>
    <t>C-59</t>
  </si>
  <si>
    <t>C-60</t>
  </si>
  <si>
    <t>D-1</t>
  </si>
  <si>
    <t>D-2</t>
  </si>
  <si>
    <t>AKHILESH</t>
  </si>
  <si>
    <t>D-4</t>
  </si>
  <si>
    <t>D-5</t>
  </si>
  <si>
    <t>CH-5, CBHF</t>
  </si>
  <si>
    <t>A-8</t>
  </si>
  <si>
    <t>D-14</t>
  </si>
  <si>
    <t>AMUL</t>
  </si>
  <si>
    <t>D-18</t>
  </si>
  <si>
    <t>ABHIRAJ</t>
  </si>
  <si>
    <t>D-19</t>
  </si>
  <si>
    <t>D-21</t>
  </si>
  <si>
    <t>HENKO</t>
  </si>
  <si>
    <t>D-24</t>
  </si>
  <si>
    <t>D-25</t>
  </si>
  <si>
    <t>D-28</t>
  </si>
  <si>
    <t>A-20</t>
  </si>
  <si>
    <t>D-29</t>
  </si>
  <si>
    <t>ALBERT</t>
  </si>
  <si>
    <t>A-27</t>
  </si>
  <si>
    <t>D-31</t>
  </si>
  <si>
    <t>D-32</t>
  </si>
  <si>
    <t>D-33</t>
  </si>
  <si>
    <t>D-34X</t>
  </si>
  <si>
    <t>D-36</t>
  </si>
  <si>
    <t>AKSHAR</t>
  </si>
  <si>
    <t>B-2</t>
  </si>
  <si>
    <t>D-37</t>
  </si>
  <si>
    <t>D-39</t>
  </si>
  <si>
    <t>AYUSH</t>
  </si>
  <si>
    <t>D-44</t>
  </si>
  <si>
    <t>D-46</t>
  </si>
  <si>
    <t>A-37</t>
  </si>
  <si>
    <t>D-48</t>
  </si>
  <si>
    <t>A-25</t>
  </si>
  <si>
    <t>D-49</t>
  </si>
  <si>
    <t>D-52</t>
  </si>
  <si>
    <t>A-14</t>
  </si>
  <si>
    <t>E-2</t>
  </si>
  <si>
    <t>E-4</t>
  </si>
  <si>
    <t>CH-10,CBHF</t>
  </si>
  <si>
    <t>E-5</t>
  </si>
  <si>
    <t>E-6</t>
  </si>
  <si>
    <t>E-8X</t>
  </si>
  <si>
    <t>E-12X</t>
  </si>
  <si>
    <t>E-16</t>
  </si>
  <si>
    <t>CH-7</t>
  </si>
  <si>
    <t>E-17X</t>
  </si>
  <si>
    <t>E-18X</t>
  </si>
  <si>
    <t>E-21</t>
  </si>
  <si>
    <t>CH-2</t>
  </si>
  <si>
    <t>E-23X</t>
  </si>
  <si>
    <t>E-25</t>
  </si>
  <si>
    <t>B-21</t>
  </si>
  <si>
    <t>E-27</t>
  </si>
  <si>
    <t>ALOK</t>
  </si>
  <si>
    <t>E-31</t>
  </si>
  <si>
    <t>JAYKUMAR</t>
  </si>
  <si>
    <t>E-33</t>
  </si>
  <si>
    <t>C-2</t>
  </si>
  <si>
    <t>E-36</t>
  </si>
  <si>
    <t>E-37</t>
  </si>
  <si>
    <t>B-53</t>
  </si>
  <si>
    <t>E-39</t>
  </si>
  <si>
    <t>E-41</t>
  </si>
  <si>
    <t>E-46</t>
  </si>
  <si>
    <t>E-48</t>
  </si>
  <si>
    <t>E-57</t>
  </si>
  <si>
    <t>CH-10</t>
  </si>
  <si>
    <t>E-58</t>
  </si>
  <si>
    <t>B-44</t>
  </si>
  <si>
    <t>E-59</t>
  </si>
  <si>
    <t>E-66</t>
  </si>
  <si>
    <t>AYUSH-SORTED</t>
  </si>
  <si>
    <t>C-14</t>
  </si>
  <si>
    <t>E-67</t>
  </si>
  <si>
    <t>C-8</t>
  </si>
  <si>
    <t>E-68</t>
  </si>
  <si>
    <t>E-69</t>
  </si>
  <si>
    <t>F-13</t>
  </si>
  <si>
    <t>F-14</t>
  </si>
  <si>
    <t>F-15</t>
  </si>
  <si>
    <t>F-16</t>
  </si>
  <si>
    <t>C-44</t>
  </si>
  <si>
    <t>F-17</t>
  </si>
  <si>
    <t>AKIB</t>
  </si>
  <si>
    <t>F-18</t>
  </si>
  <si>
    <t>F-20</t>
  </si>
  <si>
    <t>C-32</t>
  </si>
  <si>
    <t>F-22</t>
  </si>
  <si>
    <t>ANGRAJ-SORTED</t>
  </si>
  <si>
    <t>F-23</t>
  </si>
  <si>
    <t>F-24</t>
  </si>
  <si>
    <t>F-25</t>
  </si>
  <si>
    <t>F-30</t>
  </si>
  <si>
    <t>NDDB 40128/40121</t>
  </si>
  <si>
    <t>F-32</t>
  </si>
  <si>
    <t>F-33</t>
  </si>
  <si>
    <t>NDDB 40428/40118</t>
  </si>
  <si>
    <t>F-34</t>
  </si>
  <si>
    <t>F-39</t>
  </si>
  <si>
    <t>NDDB ALM 40118 HF</t>
  </si>
  <si>
    <t>C-28</t>
  </si>
  <si>
    <t>F-40</t>
  </si>
  <si>
    <t>ALGAD-SORTED</t>
  </si>
  <si>
    <t>C-29</t>
  </si>
  <si>
    <t>F-47</t>
  </si>
  <si>
    <t>NDDB ALM 40121 HF</t>
  </si>
  <si>
    <t>F-52</t>
  </si>
  <si>
    <t>F-53</t>
  </si>
  <si>
    <t>F-59</t>
  </si>
  <si>
    <t>NDDB ALM 40132 HF</t>
  </si>
  <si>
    <t>F-60</t>
  </si>
  <si>
    <t>ALGAD-ST</t>
  </si>
  <si>
    <t>C-56</t>
  </si>
  <si>
    <t>F-62</t>
  </si>
  <si>
    <t>F-63</t>
  </si>
  <si>
    <t>NDDB ALM 40116 HF</t>
  </si>
  <si>
    <t>A-11</t>
  </si>
  <si>
    <t>F-64</t>
  </si>
  <si>
    <t>F-65</t>
  </si>
  <si>
    <t>F-67</t>
  </si>
  <si>
    <t>F-68</t>
  </si>
  <si>
    <t>B-19</t>
  </si>
  <si>
    <t>A-1</t>
  </si>
  <si>
    <t>F-74</t>
  </si>
  <si>
    <t>G-2</t>
  </si>
  <si>
    <t>5 STAR HX 40132 HF</t>
  </si>
  <si>
    <t>HEIFER NON-PREG</t>
  </si>
  <si>
    <t>G-4</t>
  </si>
  <si>
    <t>5 STAR HX 40231 HF</t>
  </si>
  <si>
    <t>HEIFER PREG</t>
  </si>
  <si>
    <t>G-8</t>
  </si>
  <si>
    <t>HARVESTER</t>
  </si>
  <si>
    <t>G-10</t>
  </si>
  <si>
    <t>HARESWAR</t>
  </si>
  <si>
    <t>A-7</t>
  </si>
  <si>
    <t>G-12</t>
  </si>
  <si>
    <t>G-17</t>
  </si>
  <si>
    <t>JORAWAR</t>
  </si>
  <si>
    <t>B-1</t>
  </si>
  <si>
    <t>G-18</t>
  </si>
  <si>
    <t>HALDIRAM-ST</t>
  </si>
  <si>
    <t>D-40</t>
  </si>
  <si>
    <t>G-19</t>
  </si>
  <si>
    <t>HALOGEN</t>
  </si>
  <si>
    <t>G-21</t>
  </si>
  <si>
    <t>HUKUMAT</t>
  </si>
  <si>
    <t>D-17</t>
  </si>
  <si>
    <t>G-22</t>
  </si>
  <si>
    <t>G-24</t>
  </si>
  <si>
    <t>G-25</t>
  </si>
  <si>
    <t>B-18</t>
  </si>
  <si>
    <t>G-26</t>
  </si>
  <si>
    <t>G-27</t>
  </si>
  <si>
    <t>G-28</t>
  </si>
  <si>
    <t>G-30</t>
  </si>
  <si>
    <t>G-31</t>
  </si>
  <si>
    <t>G-33</t>
  </si>
  <si>
    <t>B-32</t>
  </si>
  <si>
    <t>G-34</t>
  </si>
  <si>
    <t>G-35</t>
  </si>
  <si>
    <t>G-36</t>
  </si>
  <si>
    <t>G-38</t>
  </si>
  <si>
    <t>HALDIRAM</t>
  </si>
  <si>
    <t>G-39</t>
  </si>
  <si>
    <t>G-40</t>
  </si>
  <si>
    <t>G-41</t>
  </si>
  <si>
    <t>D-42</t>
  </si>
  <si>
    <t>G-45</t>
  </si>
  <si>
    <t>G-48</t>
  </si>
  <si>
    <t>G-49</t>
  </si>
  <si>
    <t>HARITARA</t>
  </si>
  <si>
    <t>G-51</t>
  </si>
  <si>
    <t>G-52</t>
  </si>
  <si>
    <t>A-17</t>
  </si>
  <si>
    <t>G-53</t>
  </si>
  <si>
    <t>G-54</t>
  </si>
  <si>
    <t>JAYKUMAR-ST</t>
  </si>
  <si>
    <t>G-55</t>
  </si>
  <si>
    <t>B-49</t>
  </si>
  <si>
    <t>G-56</t>
  </si>
  <si>
    <t>G-57</t>
  </si>
  <si>
    <t>HIMANSHU</t>
  </si>
  <si>
    <t>G-58</t>
  </si>
  <si>
    <t>G-60</t>
  </si>
  <si>
    <t>G-62</t>
  </si>
  <si>
    <t>HALOGEN-ST</t>
  </si>
  <si>
    <t>G-64</t>
  </si>
  <si>
    <t>G-65</t>
  </si>
  <si>
    <t>G-66</t>
  </si>
  <si>
    <t>B-46</t>
  </si>
  <si>
    <t>G-67</t>
  </si>
  <si>
    <t>G-68</t>
  </si>
  <si>
    <t>G-69</t>
  </si>
  <si>
    <t>G-70</t>
  </si>
  <si>
    <t>E-29</t>
  </si>
  <si>
    <t>G-71</t>
  </si>
  <si>
    <t>G-72</t>
  </si>
  <si>
    <t>G-75</t>
  </si>
  <si>
    <t>G-76</t>
  </si>
  <si>
    <t>G-77</t>
  </si>
  <si>
    <t>G-78</t>
  </si>
  <si>
    <t>H-1</t>
  </si>
  <si>
    <t>H-3</t>
  </si>
  <si>
    <t>H-4</t>
  </si>
  <si>
    <t>H-5</t>
  </si>
  <si>
    <t>H-6</t>
  </si>
  <si>
    <t>H-7</t>
  </si>
  <si>
    <t>A-35</t>
  </si>
  <si>
    <t>H-8</t>
  </si>
  <si>
    <t>H-9</t>
  </si>
  <si>
    <t>5 STAR HX 40074</t>
  </si>
  <si>
    <t>H-10</t>
  </si>
  <si>
    <t>HEXA</t>
  </si>
  <si>
    <t>B-27</t>
  </si>
  <si>
    <t>H-12</t>
  </si>
  <si>
    <t>H-13</t>
  </si>
  <si>
    <t>E-70</t>
  </si>
  <si>
    <t>H-15</t>
  </si>
  <si>
    <t>H-16</t>
  </si>
  <si>
    <t>C-31</t>
  </si>
  <si>
    <t>D-35</t>
  </si>
  <si>
    <t>H-18</t>
  </si>
  <si>
    <t>B-36</t>
  </si>
  <si>
    <t>RICHARD-ST</t>
  </si>
  <si>
    <t>H-20</t>
  </si>
  <si>
    <t>H-21</t>
  </si>
  <si>
    <t>H-23</t>
  </si>
  <si>
    <t>F-4</t>
  </si>
  <si>
    <t>H-24</t>
  </si>
  <si>
    <t>H-25</t>
  </si>
  <si>
    <t>E-10X</t>
  </si>
  <si>
    <t>H-26</t>
  </si>
  <si>
    <t>5 STAR HX 40237</t>
  </si>
  <si>
    <t>E-19</t>
  </si>
  <si>
    <t>H-28</t>
  </si>
  <si>
    <t>H-29</t>
  </si>
  <si>
    <t>H-31</t>
  </si>
  <si>
    <t>H-32</t>
  </si>
  <si>
    <t>C-13</t>
  </si>
  <si>
    <t>H-33</t>
  </si>
  <si>
    <t>H-34</t>
  </si>
  <si>
    <t>H-35</t>
  </si>
  <si>
    <t>H-37</t>
  </si>
  <si>
    <t>H-38</t>
  </si>
  <si>
    <t>H-41</t>
  </si>
  <si>
    <t>H-42</t>
  </si>
  <si>
    <t>H-43</t>
  </si>
  <si>
    <t>H-45</t>
  </si>
  <si>
    <t>H-47</t>
  </si>
  <si>
    <t>H-50</t>
  </si>
  <si>
    <t>H-51</t>
  </si>
  <si>
    <t>H-52</t>
  </si>
  <si>
    <t>H-53</t>
  </si>
  <si>
    <t>H-54</t>
  </si>
  <si>
    <t>H-55</t>
  </si>
  <si>
    <t>F-37</t>
  </si>
  <si>
    <t>H-56</t>
  </si>
  <si>
    <t>D-30</t>
  </si>
  <si>
    <t>H-57</t>
  </si>
  <si>
    <t>HARESWAR-ST</t>
  </si>
  <si>
    <t>H-58</t>
  </si>
  <si>
    <t>C-58</t>
  </si>
  <si>
    <t>H-59</t>
  </si>
  <si>
    <t>H-60</t>
  </si>
  <si>
    <t>H-61</t>
  </si>
  <si>
    <t>H-62</t>
  </si>
  <si>
    <t>B-29</t>
  </si>
  <si>
    <t>H-63</t>
  </si>
  <si>
    <t>H-64</t>
  </si>
  <si>
    <t>F-55</t>
  </si>
  <si>
    <t>H-65</t>
  </si>
  <si>
    <t>I-1</t>
  </si>
  <si>
    <t>HORLIC</t>
  </si>
  <si>
    <t>I-3</t>
  </si>
  <si>
    <t>I-4</t>
  </si>
  <si>
    <t>HATODA</t>
  </si>
  <si>
    <t>I-6</t>
  </si>
  <si>
    <t>I-12</t>
  </si>
  <si>
    <t>I-13</t>
  </si>
  <si>
    <t>I-14</t>
  </si>
  <si>
    <t>I-15</t>
  </si>
  <si>
    <t>I-16</t>
  </si>
  <si>
    <t>HOKAR</t>
  </si>
  <si>
    <t>E-11X</t>
  </si>
  <si>
    <t>I-18</t>
  </si>
  <si>
    <t>HIMMATWAN</t>
  </si>
  <si>
    <t>I-19</t>
  </si>
  <si>
    <t>I-20</t>
  </si>
  <si>
    <t>I-21</t>
  </si>
  <si>
    <t>I-22</t>
  </si>
  <si>
    <t>HIRAKUD</t>
  </si>
  <si>
    <t>I-23</t>
  </si>
  <si>
    <t>I-24</t>
  </si>
  <si>
    <t>HOSH</t>
  </si>
  <si>
    <t>I-26</t>
  </si>
  <si>
    <t>I-27</t>
  </si>
  <si>
    <t>I-28</t>
  </si>
  <si>
    <t>HIGHNESS</t>
  </si>
  <si>
    <t>B-14</t>
  </si>
  <si>
    <t>I-29</t>
  </si>
  <si>
    <t>I-30</t>
  </si>
  <si>
    <t>I-31</t>
  </si>
  <si>
    <t>I-33</t>
  </si>
  <si>
    <t>I-34</t>
  </si>
  <si>
    <t>HIGHNESS-ST</t>
  </si>
  <si>
    <t>I-35</t>
  </si>
  <si>
    <t>I-36</t>
  </si>
  <si>
    <t>I-37</t>
  </si>
  <si>
    <t>I-39</t>
  </si>
  <si>
    <t>I-40</t>
  </si>
  <si>
    <t>I-41</t>
  </si>
  <si>
    <t>I-42</t>
  </si>
  <si>
    <t>I-43</t>
  </si>
  <si>
    <t>I-44</t>
  </si>
  <si>
    <t>I-45</t>
  </si>
  <si>
    <t>I-46</t>
  </si>
  <si>
    <t>I-47</t>
  </si>
  <si>
    <t>I-48</t>
  </si>
  <si>
    <t>I-50</t>
  </si>
  <si>
    <t>I-51</t>
  </si>
  <si>
    <t>I-52</t>
  </si>
  <si>
    <t>B-25</t>
  </si>
  <si>
    <t>I-53</t>
  </si>
  <si>
    <t>I-54</t>
  </si>
  <si>
    <t>I-55</t>
  </si>
  <si>
    <t>I-57</t>
  </si>
  <si>
    <t>F-66</t>
  </si>
  <si>
    <t>I-58</t>
  </si>
  <si>
    <t>I-59</t>
  </si>
  <si>
    <t>I-60</t>
  </si>
  <si>
    <t>LETS GO 015382</t>
  </si>
  <si>
    <t>I-61</t>
  </si>
  <si>
    <t>I-62</t>
  </si>
  <si>
    <t>I-63</t>
  </si>
  <si>
    <t>I-64</t>
  </si>
  <si>
    <t>I-65</t>
  </si>
  <si>
    <t>I-66</t>
  </si>
  <si>
    <t>I-67</t>
  </si>
  <si>
    <t>I-68</t>
  </si>
  <si>
    <t>I-69</t>
  </si>
  <si>
    <t>I-70</t>
  </si>
  <si>
    <t>I-71</t>
  </si>
  <si>
    <t>J-1</t>
  </si>
  <si>
    <t>J-2</t>
  </si>
  <si>
    <t>J-3</t>
  </si>
  <si>
    <t>J-4</t>
  </si>
  <si>
    <t>J-5</t>
  </si>
  <si>
    <t>J-6</t>
  </si>
  <si>
    <t>J-7</t>
  </si>
  <si>
    <t>HO-2316-ST</t>
  </si>
  <si>
    <t>J-8</t>
  </si>
  <si>
    <t>J-9</t>
  </si>
  <si>
    <t>J-11</t>
  </si>
  <si>
    <t>J-12</t>
  </si>
  <si>
    <t>J-13</t>
  </si>
  <si>
    <t>J-15</t>
  </si>
  <si>
    <t>OSCAR</t>
  </si>
  <si>
    <t>F-45</t>
  </si>
  <si>
    <t>J-16</t>
  </si>
  <si>
    <t>ALEXENDER-ST</t>
  </si>
  <si>
    <t>J-17</t>
  </si>
  <si>
    <t>J-18</t>
  </si>
  <si>
    <t>OLIVER</t>
  </si>
  <si>
    <t>J-19</t>
  </si>
  <si>
    <t>J-20</t>
  </si>
  <si>
    <t>J-21</t>
  </si>
  <si>
    <t>J-22</t>
  </si>
  <si>
    <t>J-23</t>
  </si>
  <si>
    <t>J-24</t>
  </si>
  <si>
    <t>J-25</t>
  </si>
  <si>
    <t>J-26</t>
  </si>
  <si>
    <t>J-27</t>
  </si>
  <si>
    <t>J-28</t>
  </si>
  <si>
    <t>C-40</t>
  </si>
  <si>
    <t>J-29</t>
  </si>
  <si>
    <t>J-30</t>
  </si>
  <si>
    <t>J-31</t>
  </si>
  <si>
    <t>3-6 MONTH</t>
  </si>
  <si>
    <t>J-32</t>
  </si>
  <si>
    <t>J-34</t>
  </si>
  <si>
    <t>J-35</t>
  </si>
  <si>
    <t>J-36</t>
  </si>
  <si>
    <t>J-37</t>
  </si>
  <si>
    <t>J-38</t>
  </si>
  <si>
    <t>J-39</t>
  </si>
  <si>
    <t>J-40</t>
  </si>
  <si>
    <t>J-41</t>
  </si>
  <si>
    <t>J-42</t>
  </si>
  <si>
    <t>J-44</t>
  </si>
  <si>
    <t>J-45</t>
  </si>
  <si>
    <t>J-46</t>
  </si>
  <si>
    <t>J-47</t>
  </si>
  <si>
    <t>J-48</t>
  </si>
  <si>
    <t>J-49</t>
  </si>
  <si>
    <t>J-50</t>
  </si>
  <si>
    <t>STURDY</t>
  </si>
  <si>
    <t>J-52</t>
  </si>
  <si>
    <t>J-51</t>
  </si>
  <si>
    <t>J-53</t>
  </si>
  <si>
    <t>PLUTO</t>
  </si>
  <si>
    <t>30-60 DAYS</t>
  </si>
  <si>
    <t>J-54</t>
  </si>
  <si>
    <t>F-61</t>
  </si>
  <si>
    <t>J-55</t>
  </si>
  <si>
    <t>ARMADA</t>
  </si>
  <si>
    <t>J-56</t>
  </si>
  <si>
    <t>J-57</t>
  </si>
  <si>
    <t>J-58</t>
  </si>
  <si>
    <t>PREET</t>
  </si>
  <si>
    <t>0-30 DAYS</t>
  </si>
  <si>
    <t>J-33</t>
  </si>
  <si>
    <t>Medicine Used</t>
  </si>
  <si>
    <t>Dose (in ML)</t>
  </si>
  <si>
    <t>HELMIGARD</t>
  </si>
  <si>
    <t xml:space="preserve">  </t>
  </si>
  <si>
    <t>PREGNANCY DETAILS</t>
  </si>
  <si>
    <t>A.I DATE</t>
  </si>
  <si>
    <t>BULL NAME</t>
  </si>
  <si>
    <t>DRYING DATE</t>
  </si>
  <si>
    <t>DUE DATE</t>
  </si>
  <si>
    <t>KEEPSAKE</t>
  </si>
  <si>
    <t>BOLDRULER</t>
  </si>
  <si>
    <t>17-14-2025</t>
  </si>
  <si>
    <t>FRISKET-ET</t>
  </si>
  <si>
    <t>JOSH</t>
  </si>
  <si>
    <t>HARMISH</t>
  </si>
  <si>
    <t>PREET-JY</t>
  </si>
  <si>
    <t>RODEO</t>
  </si>
  <si>
    <t>FEMALE CATTLE ROLL (AUGUST-2026)</t>
  </si>
  <si>
    <t>J-43</t>
  </si>
  <si>
    <t>DIED ON 20-08-2026 DUE TO Diarrhea,Pneumonia and Weakness</t>
  </si>
  <si>
    <t>D-11</t>
  </si>
  <si>
    <t>CULLING ON 29-08-2026 DUE LOW YIELDER</t>
  </si>
  <si>
    <t>J-10</t>
  </si>
  <si>
    <t>LAST A.I DATE</t>
  </si>
  <si>
    <t>NO OF A.I DONE</t>
  </si>
  <si>
    <t>A.I DONE BY</t>
  </si>
  <si>
    <t>SURYA BEHERA</t>
  </si>
  <si>
    <t>HAMMER-ST</t>
  </si>
  <si>
    <t>REPEAT ON 27-08-2026</t>
  </si>
  <si>
    <t>REPEAT ON 01-09-2026</t>
  </si>
  <si>
    <t>SPIKE-ST</t>
  </si>
  <si>
    <t>SNOWMAN-ST</t>
  </si>
  <si>
    <t>HAMMER</t>
  </si>
  <si>
    <t>SNOWMAN</t>
  </si>
  <si>
    <t>HULK-ST</t>
  </si>
  <si>
    <t>REPEAT ON 6-08-2026, Bull-HULK</t>
  </si>
  <si>
    <t>REPEAT ON 20-08-2026, BULL-SPIKE ST</t>
  </si>
  <si>
    <t>First on 16/7/26</t>
  </si>
  <si>
    <t>First ON 16-07-2026, Bull - HULK</t>
  </si>
  <si>
    <t>Died</t>
  </si>
  <si>
    <t>Weight</t>
  </si>
  <si>
    <t>Animal Pregnancy Status</t>
  </si>
  <si>
    <t>Growth difference</t>
  </si>
  <si>
    <t>VACCINATION DATE</t>
  </si>
  <si>
    <t>Last month</t>
  </si>
  <si>
    <t>Present month (August)</t>
  </si>
  <si>
    <t>Sl No</t>
  </si>
  <si>
    <t>Animal No</t>
  </si>
  <si>
    <t>Vaccination (None/All completed/Part Completed)</t>
  </si>
  <si>
    <t>Last Vaccine name</t>
  </si>
  <si>
    <t>Data of Vacination</t>
  </si>
  <si>
    <t>No of Lactation</t>
  </si>
  <si>
    <t>Milking status for Mother  (Milking/Dry NP/Milking NP/Dry P/Milking P)</t>
  </si>
  <si>
    <t>Last calving date</t>
  </si>
  <si>
    <t>Heating date</t>
  </si>
  <si>
    <t>Last AI date</t>
  </si>
  <si>
    <t>Success (Yes/No)</t>
  </si>
  <si>
    <t>Attempts date</t>
  </si>
  <si>
    <t>Bull used</t>
  </si>
  <si>
    <t>Calf DoB</t>
  </si>
  <si>
    <t>Calf (Male/Female)</t>
  </si>
  <si>
    <t>Expected due date (AI+277)</t>
  </si>
  <si>
    <t>Drying date (AI+210)</t>
  </si>
  <si>
    <t>Average daily milking</t>
  </si>
  <si>
    <t>Milking group</t>
  </si>
  <si>
    <t>Animal status (Mother Active/Calf/Herd/Mother sick/Calf sick/Aged/Other)</t>
  </si>
  <si>
    <t>No of AI attempts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</si>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</sst>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\.yy;@"/>
    <numFmt numFmtId="165" formatCode="[$-409]d\-mmm\-yy;@"/>
  </numFmts>
  <fonts count="22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14"/>
      <name val="Calibri"/>
      <family val="2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 (Body)"/>
    </font>
    <font>
      <sz val="11"/>
      <color rgb="FFFF0000"/>
      <name val="Calibri (Body)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14" fontId="6" fillId="5" borderId="1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4" fontId="6" fillId="5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vertical="center"/>
    </xf>
    <xf numFmtId="0" fontId="9" fillId="0" borderId="0" xfId="0" applyFont="1"/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64" fontId="5" fillId="5" borderId="4" xfId="0" applyNumberFormat="1" applyFont="1" applyFill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2" borderId="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/>
    <xf numFmtId="0" fontId="16" fillId="0" borderId="0" xfId="0" applyFont="1"/>
    <xf numFmtId="0" fontId="6" fillId="9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18" fillId="5" borderId="5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wrapText="1"/>
    </xf>
    <xf numFmtId="0" fontId="21" fillId="0" borderId="0" xfId="0" applyFont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9" fillId="0" borderId="1" xfId="0" applyFont="1" applyBorder="1"/>
    <xf numFmtId="14" fontId="16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 applyProtection="1">
      <alignment horizontal="center" vertical="center"/>
      <protection locked="0"/>
    </xf>
    <xf numFmtId="0" fontId="3" fillId="6" borderId="5" xfId="0" applyFont="1" applyFill="1" applyBorder="1" applyAlignment="1" applyProtection="1">
      <alignment horizontal="center" vertical="center"/>
      <protection locked="0"/>
    </xf>
    <xf numFmtId="0" fontId="3" fillId="6" borderId="6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4" fillId="7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/>
    </xf>
    <xf numFmtId="14" fontId="2" fillId="6" borderId="2" xfId="0" applyNumberFormat="1" applyFont="1" applyFill="1" applyBorder="1" applyAlignment="1">
      <alignment horizontal="center" vertical="center" wrapText="1"/>
    </xf>
    <xf numFmtId="14" fontId="2" fillId="6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14" fontId="2" fillId="6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A276-5BF2-C144-884F-A5D1FFBC7A77}">
  <dimension ref="A1:AN388"/>
  <sheetViews>
    <sheetView tabSelected="1" workbookViewId="0">
      <pane xSplit="6" ySplit="3" topLeftCell="G4" activePane="bottomRight" state="frozen"/>
      <selection pane="topRight" activeCell="H1" sqref="H1"/>
      <selection pane="bottomLeft" activeCell="A4" sqref="A4"/>
      <selection pane="bottomRight" activeCell="B4" sqref="B4:E388"/>
    </sheetView>
  </sheetViews>
  <sheetFormatPr baseColWidth="10" defaultColWidth="8.83203125" defaultRowHeight="16" x14ac:dyDescent="0.2"/>
  <cols>
    <col min="1" max="1" width="4.1640625" style="44" bestFit="1" customWidth="1"/>
    <col min="2" max="2" width="6.1640625" style="44" bestFit="1" customWidth="1"/>
    <col min="3" max="3" width="7" style="44" customWidth="1"/>
    <col min="4" max="4" width="11" style="44" bestFit="1" customWidth="1"/>
    <col min="5" max="5" width="4" style="44" customWidth="1"/>
    <col min="6" max="6" width="5.6640625" style="44" customWidth="1"/>
    <col min="7" max="7" width="19" style="44" customWidth="1"/>
    <col min="8" max="8" width="7.5" style="44" customWidth="1"/>
    <col min="9" max="9" width="12" style="44" customWidth="1"/>
    <col min="10" max="10" width="19.5" style="44" customWidth="1"/>
    <col min="13" max="13" width="12.1640625" customWidth="1"/>
    <col min="32" max="37" width="11.1640625" customWidth="1"/>
  </cols>
  <sheetData>
    <row r="1" spans="1:40" ht="33" customHeight="1" x14ac:dyDescent="0.35">
      <c r="A1" s="81" t="s">
        <v>561</v>
      </c>
      <c r="B1" s="82"/>
      <c r="C1" s="82"/>
      <c r="D1" s="82"/>
      <c r="E1" s="82"/>
      <c r="F1" s="82"/>
      <c r="G1" s="82"/>
      <c r="H1" s="82"/>
      <c r="I1" s="82"/>
      <c r="J1" s="83"/>
      <c r="K1" s="84"/>
      <c r="L1" s="84"/>
      <c r="N1" s="99"/>
      <c r="O1" s="99"/>
      <c r="P1" s="99"/>
      <c r="Q1" s="99"/>
      <c r="R1" s="99"/>
      <c r="S1" s="99"/>
      <c r="T1" s="99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8" t="s">
        <v>585</v>
      </c>
      <c r="AG1" s="88"/>
      <c r="AH1" s="88"/>
      <c r="AI1" s="88"/>
      <c r="AJ1" s="88"/>
      <c r="AK1" s="89"/>
      <c r="AL1" s="94" t="s">
        <v>584</v>
      </c>
      <c r="AM1" s="94"/>
      <c r="AN1" s="94"/>
    </row>
    <row r="2" spans="1:40" ht="42" customHeight="1" x14ac:dyDescent="0.2">
      <c r="A2" s="8" t="s">
        <v>51</v>
      </c>
      <c r="B2" s="8" t="s">
        <v>52</v>
      </c>
      <c r="C2" s="8" t="s">
        <v>53</v>
      </c>
      <c r="D2" s="8" t="s">
        <v>54</v>
      </c>
      <c r="E2" s="8" t="s">
        <v>55</v>
      </c>
      <c r="F2" s="9"/>
      <c r="G2" s="10" t="s">
        <v>56</v>
      </c>
      <c r="H2" s="8" t="s">
        <v>57</v>
      </c>
      <c r="I2" s="8" t="s">
        <v>58</v>
      </c>
      <c r="J2" s="8" t="s">
        <v>59</v>
      </c>
      <c r="K2" s="85" t="s">
        <v>544</v>
      </c>
      <c r="L2" s="87" t="s">
        <v>545</v>
      </c>
      <c r="M2" s="57"/>
      <c r="N2" s="97" t="s">
        <v>1</v>
      </c>
      <c r="O2" s="97" t="s">
        <v>567</v>
      </c>
      <c r="P2" s="98" t="s">
        <v>549</v>
      </c>
      <c r="Q2" s="97" t="s">
        <v>0</v>
      </c>
      <c r="R2" s="97" t="s">
        <v>568</v>
      </c>
      <c r="S2" s="97" t="s">
        <v>569</v>
      </c>
      <c r="T2" s="98" t="s">
        <v>10</v>
      </c>
      <c r="U2" s="77" t="s">
        <v>0</v>
      </c>
      <c r="V2" s="77" t="s">
        <v>1</v>
      </c>
      <c r="W2" s="77" t="s">
        <v>2</v>
      </c>
      <c r="X2" s="79" t="s">
        <v>3</v>
      </c>
      <c r="Y2" s="77" t="s">
        <v>4</v>
      </c>
      <c r="Z2" s="79" t="s">
        <v>5</v>
      </c>
      <c r="AA2" s="77" t="s">
        <v>6</v>
      </c>
      <c r="AB2" s="77" t="s">
        <v>4</v>
      </c>
      <c r="AC2" s="79" t="s">
        <v>7</v>
      </c>
      <c r="AD2" s="79" t="s">
        <v>8</v>
      </c>
      <c r="AE2" s="79" t="s">
        <v>9</v>
      </c>
      <c r="AF2" s="90" t="s">
        <v>1</v>
      </c>
      <c r="AG2" s="91" t="s">
        <v>548</v>
      </c>
      <c r="AH2" s="91"/>
      <c r="AI2" s="91"/>
      <c r="AJ2" s="91"/>
      <c r="AK2" s="92" t="s">
        <v>10</v>
      </c>
      <c r="AL2" s="100" t="s">
        <v>588</v>
      </c>
      <c r="AM2" s="100" t="s">
        <v>589</v>
      </c>
      <c r="AN2" s="95" t="s">
        <v>586</v>
      </c>
    </row>
    <row r="3" spans="1:40" ht="34" customHeight="1" x14ac:dyDescent="0.2">
      <c r="A3" s="11"/>
      <c r="B3" s="11"/>
      <c r="C3" s="11"/>
      <c r="D3" s="11"/>
      <c r="E3" s="11"/>
      <c r="F3" s="9" t="s">
        <v>60</v>
      </c>
      <c r="G3" s="12"/>
      <c r="H3" s="11"/>
      <c r="I3" s="11"/>
      <c r="J3" s="11"/>
      <c r="K3" s="86"/>
      <c r="L3" s="85"/>
      <c r="M3" s="1" t="s">
        <v>587</v>
      </c>
      <c r="N3" s="97"/>
      <c r="O3" s="97"/>
      <c r="P3" s="98"/>
      <c r="Q3" s="97"/>
      <c r="R3" s="97"/>
      <c r="S3" s="97"/>
      <c r="T3" s="98"/>
      <c r="U3" s="78"/>
      <c r="V3" s="78"/>
      <c r="W3" s="78"/>
      <c r="X3" s="79"/>
      <c r="Y3" s="78"/>
      <c r="Z3" s="79"/>
      <c r="AA3" s="78"/>
      <c r="AB3" s="78"/>
      <c r="AC3" s="79"/>
      <c r="AD3" s="79"/>
      <c r="AE3" s="79"/>
      <c r="AF3" s="90"/>
      <c r="AG3" s="45" t="s">
        <v>549</v>
      </c>
      <c r="AH3" s="45" t="s">
        <v>550</v>
      </c>
      <c r="AI3" s="45" t="s">
        <v>551</v>
      </c>
      <c r="AJ3" s="46" t="s">
        <v>552</v>
      </c>
      <c r="AK3" s="93"/>
      <c r="AL3" s="96"/>
      <c r="AM3" s="96"/>
      <c r="AN3" s="96"/>
    </row>
    <row r="4" spans="1:40" x14ac:dyDescent="0.2">
      <c r="B4" s="14">
        <v>243</v>
      </c>
      <c r="C4" s="7" t="s">
        <v>61</v>
      </c>
      <c r="D4" s="53"/>
      <c r="M4" s="71">
        <v>46231</v>
      </c>
    </row>
    <row r="5" spans="1:40" x14ac:dyDescent="0.2">
      <c r="A5" s="13">
        <v>1</v>
      </c>
      <c r="B5" s="14">
        <v>251</v>
      </c>
      <c r="C5" s="7" t="s">
        <v>61</v>
      </c>
      <c r="D5" s="15"/>
      <c r="E5" s="16">
        <v>8</v>
      </c>
      <c r="F5" s="16">
        <v>5001</v>
      </c>
      <c r="G5" s="17"/>
      <c r="H5" s="18"/>
      <c r="I5" s="19">
        <v>45856</v>
      </c>
      <c r="J5" s="7" t="s">
        <v>62</v>
      </c>
      <c r="K5" s="2" t="s">
        <v>546</v>
      </c>
      <c r="L5" s="2">
        <v>110</v>
      </c>
      <c r="M5" s="4">
        <v>46231</v>
      </c>
    </row>
    <row r="6" spans="1:40" x14ac:dyDescent="0.2">
      <c r="A6" s="13">
        <v>2</v>
      </c>
      <c r="B6" s="14">
        <v>509</v>
      </c>
      <c r="C6" s="7" t="s">
        <v>63</v>
      </c>
      <c r="D6" s="15"/>
      <c r="E6" s="16">
        <v>7</v>
      </c>
      <c r="F6" s="16">
        <v>4578</v>
      </c>
      <c r="G6" s="17"/>
      <c r="H6" s="7">
        <v>78</v>
      </c>
      <c r="I6" s="19">
        <v>45924</v>
      </c>
      <c r="J6" s="7" t="s">
        <v>62</v>
      </c>
      <c r="K6" s="2" t="s">
        <v>546</v>
      </c>
      <c r="L6" s="2">
        <v>100</v>
      </c>
      <c r="M6" s="4">
        <v>46231</v>
      </c>
    </row>
    <row r="7" spans="1:40" x14ac:dyDescent="0.2">
      <c r="A7" s="13">
        <v>3</v>
      </c>
      <c r="B7" s="14">
        <v>534</v>
      </c>
      <c r="C7" s="7" t="s">
        <v>61</v>
      </c>
      <c r="D7" s="15"/>
      <c r="E7" s="16">
        <v>6</v>
      </c>
      <c r="F7" s="16">
        <v>5325</v>
      </c>
      <c r="G7" s="17"/>
      <c r="H7" s="7">
        <v>126</v>
      </c>
      <c r="I7" s="19">
        <v>45881</v>
      </c>
      <c r="J7" s="7" t="s">
        <v>62</v>
      </c>
      <c r="K7" s="2" t="s">
        <v>546</v>
      </c>
      <c r="L7" s="2"/>
      <c r="M7" s="4">
        <v>46231</v>
      </c>
    </row>
    <row r="8" spans="1:40" x14ac:dyDescent="0.2">
      <c r="A8" s="13">
        <v>4</v>
      </c>
      <c r="B8" s="14">
        <v>536</v>
      </c>
      <c r="C8" s="20" t="s">
        <v>63</v>
      </c>
      <c r="D8" s="15"/>
      <c r="E8" s="16">
        <v>7</v>
      </c>
      <c r="F8" s="16">
        <v>3605</v>
      </c>
      <c r="G8" s="17"/>
      <c r="H8" s="7">
        <v>32</v>
      </c>
      <c r="I8" s="19">
        <v>45870</v>
      </c>
      <c r="J8" s="7" t="s">
        <v>62</v>
      </c>
      <c r="K8" s="2" t="s">
        <v>546</v>
      </c>
      <c r="L8" s="2">
        <v>110</v>
      </c>
      <c r="M8" s="4">
        <v>46231</v>
      </c>
    </row>
    <row r="9" spans="1:40" x14ac:dyDescent="0.2">
      <c r="A9" s="13">
        <v>5</v>
      </c>
      <c r="B9" s="14">
        <v>544</v>
      </c>
      <c r="C9" s="7" t="s">
        <v>63</v>
      </c>
      <c r="D9" s="15"/>
      <c r="E9" s="16">
        <v>7</v>
      </c>
      <c r="F9" s="16">
        <v>3663</v>
      </c>
      <c r="G9" s="17"/>
      <c r="H9" s="7">
        <v>21</v>
      </c>
      <c r="I9" s="19">
        <v>46225</v>
      </c>
      <c r="J9" s="7" t="s">
        <v>62</v>
      </c>
      <c r="K9" s="2" t="s">
        <v>546</v>
      </c>
      <c r="L9" s="2">
        <v>100</v>
      </c>
      <c r="M9" s="4">
        <v>46231</v>
      </c>
    </row>
    <row r="10" spans="1:40" x14ac:dyDescent="0.2">
      <c r="A10" s="13">
        <v>6</v>
      </c>
      <c r="B10" s="14">
        <v>567</v>
      </c>
      <c r="C10" s="7" t="s">
        <v>61</v>
      </c>
      <c r="D10" s="15"/>
      <c r="E10" s="16">
        <v>6</v>
      </c>
      <c r="F10" s="16">
        <v>3759</v>
      </c>
      <c r="G10" s="17"/>
      <c r="H10" s="7"/>
      <c r="I10" s="19">
        <v>46091</v>
      </c>
      <c r="J10" s="7" t="s">
        <v>62</v>
      </c>
      <c r="K10" s="2" t="s">
        <v>546</v>
      </c>
      <c r="L10" s="2">
        <v>100</v>
      </c>
      <c r="M10" s="4">
        <v>46231</v>
      </c>
    </row>
    <row r="11" spans="1:40" x14ac:dyDescent="0.2">
      <c r="A11" s="13">
        <v>7</v>
      </c>
      <c r="B11" s="14">
        <v>573</v>
      </c>
      <c r="C11" s="20" t="s">
        <v>61</v>
      </c>
      <c r="D11" s="15"/>
      <c r="E11" s="16">
        <v>5</v>
      </c>
      <c r="F11" s="16">
        <v>4662</v>
      </c>
      <c r="G11" s="17"/>
      <c r="H11" s="7">
        <v>42</v>
      </c>
      <c r="I11" s="19">
        <v>46011</v>
      </c>
      <c r="J11" s="7" t="s">
        <v>62</v>
      </c>
      <c r="K11" s="2" t="s">
        <v>546</v>
      </c>
      <c r="L11" s="2">
        <v>110</v>
      </c>
      <c r="M11" s="4">
        <v>46231</v>
      </c>
      <c r="N11" s="4">
        <v>46011</v>
      </c>
      <c r="O11" s="4">
        <v>46234</v>
      </c>
      <c r="P11" s="4">
        <v>46257</v>
      </c>
      <c r="Q11" s="2" t="s">
        <v>49</v>
      </c>
      <c r="R11" s="2">
        <v>4</v>
      </c>
      <c r="S11" s="2" t="s">
        <v>570</v>
      </c>
      <c r="T11" s="2"/>
      <c r="AE11" s="2">
        <v>368</v>
      </c>
    </row>
    <row r="12" spans="1:40" x14ac:dyDescent="0.2">
      <c r="A12" s="13">
        <v>8</v>
      </c>
      <c r="B12" s="14">
        <v>584</v>
      </c>
      <c r="C12" s="7" t="s">
        <v>61</v>
      </c>
      <c r="D12" s="15"/>
      <c r="E12" s="16">
        <v>5</v>
      </c>
      <c r="F12" s="16">
        <v>3822</v>
      </c>
      <c r="G12" s="21"/>
      <c r="H12" s="7"/>
      <c r="I12" s="19">
        <v>45166</v>
      </c>
      <c r="J12" s="7" t="s">
        <v>64</v>
      </c>
      <c r="K12" s="2" t="s">
        <v>546</v>
      </c>
      <c r="L12" s="2"/>
      <c r="M12" s="4">
        <v>46231</v>
      </c>
      <c r="N12" s="4">
        <v>45904</v>
      </c>
      <c r="O12" s="4">
        <v>45992</v>
      </c>
      <c r="P12" s="4">
        <v>46260</v>
      </c>
      <c r="Q12" s="2" t="s">
        <v>270</v>
      </c>
      <c r="R12" s="2">
        <v>2</v>
      </c>
      <c r="S12" s="2" t="s">
        <v>570</v>
      </c>
      <c r="T12" s="2"/>
      <c r="AE12" s="2">
        <v>374</v>
      </c>
    </row>
    <row r="13" spans="1:40" x14ac:dyDescent="0.2">
      <c r="A13" s="13">
        <v>9</v>
      </c>
      <c r="B13" s="14">
        <v>607</v>
      </c>
      <c r="C13" s="20" t="s">
        <v>63</v>
      </c>
      <c r="D13" s="15"/>
      <c r="E13" s="16">
        <v>4</v>
      </c>
      <c r="F13" s="16">
        <v>2835</v>
      </c>
      <c r="G13" s="17"/>
      <c r="H13" s="7">
        <v>277</v>
      </c>
      <c r="I13" s="19">
        <v>45904</v>
      </c>
      <c r="J13" s="7" t="s">
        <v>62</v>
      </c>
      <c r="K13" s="2" t="s">
        <v>546</v>
      </c>
      <c r="L13" s="2">
        <v>90</v>
      </c>
      <c r="M13" s="4">
        <v>46231</v>
      </c>
    </row>
    <row r="14" spans="1:40" x14ac:dyDescent="0.2">
      <c r="A14" s="13">
        <v>10</v>
      </c>
      <c r="B14" s="14">
        <v>611</v>
      </c>
      <c r="C14" s="20" t="s">
        <v>61</v>
      </c>
      <c r="D14" s="15"/>
      <c r="E14" s="16">
        <v>5</v>
      </c>
      <c r="F14" s="16">
        <v>3821</v>
      </c>
      <c r="G14" s="17"/>
      <c r="H14" s="7">
        <v>48</v>
      </c>
      <c r="I14" s="19">
        <v>45628</v>
      </c>
      <c r="J14" s="7" t="s">
        <v>64</v>
      </c>
      <c r="K14" s="2" t="s">
        <v>546</v>
      </c>
      <c r="L14" s="2">
        <v>100</v>
      </c>
      <c r="M14" s="4">
        <v>46231</v>
      </c>
    </row>
    <row r="15" spans="1:40" x14ac:dyDescent="0.2">
      <c r="A15" s="13">
        <v>11</v>
      </c>
      <c r="B15" s="22">
        <v>704</v>
      </c>
      <c r="C15" s="13" t="s">
        <v>61</v>
      </c>
      <c r="D15" s="13"/>
      <c r="E15" s="13">
        <v>2</v>
      </c>
      <c r="F15" s="13">
        <v>4098</v>
      </c>
      <c r="G15" s="13"/>
      <c r="H15" s="13"/>
      <c r="I15" s="23">
        <v>44879</v>
      </c>
      <c r="J15" s="13" t="s">
        <v>64</v>
      </c>
      <c r="K15" s="2" t="s">
        <v>546</v>
      </c>
      <c r="L15" s="2"/>
      <c r="M15" s="4">
        <v>46231</v>
      </c>
    </row>
    <row r="16" spans="1:40" x14ac:dyDescent="0.2">
      <c r="A16" s="13">
        <v>12</v>
      </c>
      <c r="B16" s="22">
        <v>714</v>
      </c>
      <c r="C16" s="16" t="s">
        <v>61</v>
      </c>
      <c r="D16" s="16"/>
      <c r="E16" s="16">
        <v>3</v>
      </c>
      <c r="F16" s="16">
        <v>5074</v>
      </c>
      <c r="G16" s="16"/>
      <c r="H16" s="16"/>
      <c r="I16" s="31">
        <v>45623</v>
      </c>
      <c r="J16" s="16" t="s">
        <v>64</v>
      </c>
      <c r="K16" s="2" t="s">
        <v>546</v>
      </c>
      <c r="L16" s="2"/>
      <c r="M16" s="4">
        <v>46231</v>
      </c>
    </row>
    <row r="17" spans="1:39" x14ac:dyDescent="0.2">
      <c r="A17" s="13">
        <v>13</v>
      </c>
      <c r="B17" s="3" t="s">
        <v>48</v>
      </c>
      <c r="C17" s="7" t="s">
        <v>61</v>
      </c>
      <c r="D17" s="24"/>
      <c r="E17" s="25">
        <v>6</v>
      </c>
      <c r="F17" s="16">
        <v>4689</v>
      </c>
      <c r="G17" s="17"/>
      <c r="H17" s="7">
        <v>251</v>
      </c>
      <c r="I17" s="19">
        <v>46264</v>
      </c>
      <c r="J17" s="7" t="s">
        <v>62</v>
      </c>
      <c r="K17" s="2" t="s">
        <v>546</v>
      </c>
      <c r="L17" s="2">
        <v>110</v>
      </c>
      <c r="M17" s="4">
        <v>46231</v>
      </c>
      <c r="U17" s="2" t="s">
        <v>49</v>
      </c>
      <c r="V17" s="4">
        <v>45925</v>
      </c>
      <c r="W17" s="4">
        <v>45996</v>
      </c>
      <c r="X17" s="5">
        <v>46264</v>
      </c>
      <c r="Y17" s="6">
        <v>0.8125</v>
      </c>
      <c r="Z17" s="2" t="s">
        <v>14</v>
      </c>
      <c r="AA17" s="2" t="s">
        <v>15</v>
      </c>
      <c r="AB17" s="6">
        <v>0.875</v>
      </c>
      <c r="AC17" s="2" t="s">
        <v>21</v>
      </c>
      <c r="AD17" s="2">
        <f>X17-W17</f>
        <v>268</v>
      </c>
      <c r="AE17" s="2">
        <f>X17-V17</f>
        <v>339</v>
      </c>
      <c r="AM17">
        <v>30</v>
      </c>
    </row>
    <row r="18" spans="1:39" x14ac:dyDescent="0.2">
      <c r="A18" s="13">
        <v>14</v>
      </c>
      <c r="B18" s="3" t="s">
        <v>65</v>
      </c>
      <c r="C18" s="7" t="s">
        <v>61</v>
      </c>
      <c r="D18" s="19">
        <v>43084</v>
      </c>
      <c r="E18" s="20">
        <v>6</v>
      </c>
      <c r="F18" s="20">
        <v>4230</v>
      </c>
      <c r="G18" s="20"/>
      <c r="H18" s="7">
        <v>237</v>
      </c>
      <c r="I18" s="19">
        <v>46116</v>
      </c>
      <c r="J18" s="7" t="s">
        <v>62</v>
      </c>
      <c r="K18" s="2" t="s">
        <v>546</v>
      </c>
      <c r="L18" s="2">
        <v>90</v>
      </c>
      <c r="M18" s="4">
        <v>46231</v>
      </c>
    </row>
    <row r="19" spans="1:39" x14ac:dyDescent="0.2">
      <c r="A19" s="13">
        <v>15</v>
      </c>
      <c r="B19" s="3" t="s">
        <v>66</v>
      </c>
      <c r="C19" s="7" t="s">
        <v>61</v>
      </c>
      <c r="D19" s="19">
        <v>43156</v>
      </c>
      <c r="E19" s="20">
        <v>5</v>
      </c>
      <c r="F19" s="20">
        <v>5255</v>
      </c>
      <c r="G19" s="26"/>
      <c r="H19" s="7">
        <v>101</v>
      </c>
      <c r="I19" s="19">
        <v>46089</v>
      </c>
      <c r="J19" s="7" t="s">
        <v>64</v>
      </c>
      <c r="K19" s="2" t="s">
        <v>546</v>
      </c>
      <c r="L19" s="2">
        <v>120</v>
      </c>
      <c r="M19" s="4">
        <v>46231</v>
      </c>
    </row>
    <row r="20" spans="1:39" x14ac:dyDescent="0.2">
      <c r="A20" s="13">
        <v>16</v>
      </c>
      <c r="B20" s="3" t="s">
        <v>67</v>
      </c>
      <c r="C20" s="7" t="s">
        <v>61</v>
      </c>
      <c r="D20" s="27">
        <v>43214</v>
      </c>
      <c r="E20" s="28">
        <v>3</v>
      </c>
      <c r="F20" s="28">
        <v>4150</v>
      </c>
      <c r="G20" s="29"/>
      <c r="H20" s="28">
        <v>89</v>
      </c>
      <c r="I20" s="27">
        <v>45590</v>
      </c>
      <c r="J20" s="7" t="s">
        <v>68</v>
      </c>
      <c r="K20" s="2" t="s">
        <v>546</v>
      </c>
      <c r="L20" s="2">
        <v>110</v>
      </c>
      <c r="M20" s="4">
        <v>46231</v>
      </c>
      <c r="AF20" s="4">
        <v>45590</v>
      </c>
      <c r="AG20" s="4">
        <v>46039</v>
      </c>
      <c r="AH20" s="47" t="s">
        <v>554</v>
      </c>
      <c r="AI20" s="48">
        <f>AG20+210</f>
        <v>46249</v>
      </c>
      <c r="AJ20" s="48">
        <f>AG20+277</f>
        <v>46316</v>
      </c>
      <c r="AK20" s="49" t="s">
        <v>68</v>
      </c>
    </row>
    <row r="21" spans="1:39" x14ac:dyDescent="0.2">
      <c r="A21" s="13">
        <v>17</v>
      </c>
      <c r="B21" s="22" t="s">
        <v>69</v>
      </c>
      <c r="C21" s="13" t="s">
        <v>63</v>
      </c>
      <c r="D21" s="23">
        <v>43286</v>
      </c>
      <c r="E21" s="13">
        <v>6</v>
      </c>
      <c r="F21" s="13">
        <v>4430</v>
      </c>
      <c r="G21" s="13"/>
      <c r="H21" s="13">
        <v>564</v>
      </c>
      <c r="I21" s="23">
        <v>46030</v>
      </c>
      <c r="J21" s="7" t="s">
        <v>70</v>
      </c>
      <c r="K21" s="2" t="s">
        <v>546</v>
      </c>
      <c r="L21" s="2">
        <v>100</v>
      </c>
      <c r="M21" s="4">
        <v>46231</v>
      </c>
      <c r="AF21" s="4">
        <v>46030</v>
      </c>
      <c r="AG21" s="4">
        <v>46133</v>
      </c>
      <c r="AH21" s="4" t="s">
        <v>559</v>
      </c>
      <c r="AI21" s="48">
        <f>AG21+210</f>
        <v>46343</v>
      </c>
      <c r="AJ21" s="48">
        <f>AG21+277</f>
        <v>46410</v>
      </c>
      <c r="AK21" s="49" t="s">
        <v>70</v>
      </c>
    </row>
    <row r="22" spans="1:39" x14ac:dyDescent="0.2">
      <c r="A22" s="13">
        <v>18</v>
      </c>
      <c r="B22" s="22" t="s">
        <v>71</v>
      </c>
      <c r="C22" s="13" t="s">
        <v>61</v>
      </c>
      <c r="D22" s="23">
        <v>43320</v>
      </c>
      <c r="E22" s="13">
        <v>5</v>
      </c>
      <c r="F22" s="13">
        <v>2765</v>
      </c>
      <c r="G22" s="13"/>
      <c r="H22" s="30">
        <v>255</v>
      </c>
      <c r="I22" s="31">
        <v>46086</v>
      </c>
      <c r="J22" s="7" t="s">
        <v>62</v>
      </c>
      <c r="K22" s="2" t="s">
        <v>546</v>
      </c>
      <c r="L22" s="2">
        <v>110</v>
      </c>
      <c r="M22" s="4">
        <v>46231</v>
      </c>
      <c r="AF22" s="4">
        <v>45905</v>
      </c>
      <c r="AG22" s="4">
        <v>46009</v>
      </c>
      <c r="AH22" s="47" t="s">
        <v>49</v>
      </c>
      <c r="AI22" s="48">
        <f>AG22+210</f>
        <v>46219</v>
      </c>
      <c r="AJ22" s="48">
        <f>AG22+277</f>
        <v>46286</v>
      </c>
      <c r="AK22" s="49" t="s">
        <v>68</v>
      </c>
    </row>
    <row r="23" spans="1:39" x14ac:dyDescent="0.2">
      <c r="A23" s="13">
        <v>19</v>
      </c>
      <c r="B23" s="22" t="s">
        <v>72</v>
      </c>
      <c r="C23" s="13" t="s">
        <v>73</v>
      </c>
      <c r="D23" s="23">
        <v>43330</v>
      </c>
      <c r="E23" s="13">
        <v>5</v>
      </c>
      <c r="F23" s="13">
        <v>4417</v>
      </c>
      <c r="G23" s="13" t="s">
        <v>63</v>
      </c>
      <c r="H23" s="30">
        <v>70</v>
      </c>
      <c r="I23" s="31">
        <v>45905</v>
      </c>
      <c r="J23" s="7" t="s">
        <v>68</v>
      </c>
      <c r="K23" s="2" t="s">
        <v>546</v>
      </c>
      <c r="L23" s="2">
        <v>110</v>
      </c>
      <c r="M23" s="4">
        <v>46231</v>
      </c>
    </row>
    <row r="24" spans="1:39" x14ac:dyDescent="0.2">
      <c r="A24" s="13">
        <v>20</v>
      </c>
      <c r="B24" s="22" t="s">
        <v>74</v>
      </c>
      <c r="C24" s="13" t="s">
        <v>73</v>
      </c>
      <c r="D24" s="23">
        <v>43338</v>
      </c>
      <c r="E24" s="13">
        <v>6</v>
      </c>
      <c r="F24" s="13">
        <v>5188</v>
      </c>
      <c r="G24" s="13" t="s">
        <v>75</v>
      </c>
      <c r="H24" s="30">
        <v>72</v>
      </c>
      <c r="I24" s="31">
        <v>46206</v>
      </c>
      <c r="J24" s="7" t="s">
        <v>62</v>
      </c>
      <c r="K24" s="2" t="s">
        <v>546</v>
      </c>
      <c r="L24" s="2"/>
      <c r="M24" s="4">
        <v>46231</v>
      </c>
    </row>
    <row r="25" spans="1:39" x14ac:dyDescent="0.2">
      <c r="A25" s="13">
        <v>21</v>
      </c>
      <c r="B25" s="22" t="s">
        <v>76</v>
      </c>
      <c r="C25" s="13" t="s">
        <v>73</v>
      </c>
      <c r="D25" s="23">
        <v>43338</v>
      </c>
      <c r="E25" s="13">
        <v>5</v>
      </c>
      <c r="F25" s="13">
        <v>4777</v>
      </c>
      <c r="G25" s="13" t="s">
        <v>18</v>
      </c>
      <c r="H25" s="30">
        <v>27</v>
      </c>
      <c r="I25" s="31">
        <v>46008</v>
      </c>
      <c r="J25" s="7" t="s">
        <v>70</v>
      </c>
      <c r="K25" s="2" t="s">
        <v>546</v>
      </c>
      <c r="L25" s="2">
        <v>100</v>
      </c>
      <c r="M25" s="4">
        <v>46231</v>
      </c>
      <c r="AF25" s="52">
        <v>46008</v>
      </c>
      <c r="AG25" s="52">
        <v>46178</v>
      </c>
      <c r="AH25" s="4" t="s">
        <v>12</v>
      </c>
      <c r="AI25" s="48">
        <f>AG25+210</f>
        <v>46388</v>
      </c>
      <c r="AJ25" s="48">
        <f>AG25+277</f>
        <v>46455</v>
      </c>
      <c r="AK25" s="50" t="s">
        <v>70</v>
      </c>
    </row>
    <row r="26" spans="1:39" x14ac:dyDescent="0.2">
      <c r="A26" s="13">
        <v>22</v>
      </c>
      <c r="B26" s="22" t="s">
        <v>77</v>
      </c>
      <c r="C26" s="13" t="s">
        <v>18</v>
      </c>
      <c r="D26" s="23">
        <v>43339</v>
      </c>
      <c r="E26" s="13">
        <v>4</v>
      </c>
      <c r="F26" s="13">
        <v>4378</v>
      </c>
      <c r="G26" s="13" t="s">
        <v>18</v>
      </c>
      <c r="H26" s="30">
        <v>522</v>
      </c>
      <c r="I26" s="31">
        <v>46036</v>
      </c>
      <c r="J26" s="7" t="s">
        <v>64</v>
      </c>
      <c r="K26" s="2" t="s">
        <v>546</v>
      </c>
      <c r="L26" s="2"/>
      <c r="M26" s="4">
        <v>46231</v>
      </c>
      <c r="N26" s="4">
        <v>46086</v>
      </c>
      <c r="O26" s="4">
        <v>46173</v>
      </c>
      <c r="P26" s="4">
        <v>46238</v>
      </c>
      <c r="Q26" s="2" t="s">
        <v>49</v>
      </c>
      <c r="R26" s="2">
        <v>2</v>
      </c>
      <c r="S26" s="2" t="s">
        <v>570</v>
      </c>
      <c r="T26" s="2"/>
      <c r="AE26" s="2">
        <v>340</v>
      </c>
    </row>
    <row r="27" spans="1:39" x14ac:dyDescent="0.2">
      <c r="A27" s="13">
        <v>23</v>
      </c>
      <c r="B27" s="22" t="s">
        <v>78</v>
      </c>
      <c r="C27" s="13" t="s">
        <v>18</v>
      </c>
      <c r="D27" s="23">
        <v>43349</v>
      </c>
      <c r="E27" s="13">
        <v>4</v>
      </c>
      <c r="F27" s="13">
        <v>5156</v>
      </c>
      <c r="G27" s="13" t="s">
        <v>18</v>
      </c>
      <c r="H27" s="30">
        <v>120</v>
      </c>
      <c r="I27" s="31">
        <v>45935</v>
      </c>
      <c r="J27" s="7" t="s">
        <v>62</v>
      </c>
      <c r="K27" s="2" t="s">
        <v>546</v>
      </c>
      <c r="L27" s="2">
        <v>100</v>
      </c>
      <c r="M27" s="4">
        <v>46231</v>
      </c>
    </row>
    <row r="28" spans="1:39" x14ac:dyDescent="0.2">
      <c r="A28" s="13">
        <v>24</v>
      </c>
      <c r="B28" s="22" t="s">
        <v>79</v>
      </c>
      <c r="C28" s="13" t="s">
        <v>18</v>
      </c>
      <c r="D28" s="23">
        <v>43356</v>
      </c>
      <c r="E28" s="13">
        <v>4</v>
      </c>
      <c r="F28" s="13">
        <v>4167</v>
      </c>
      <c r="G28" s="13" t="s">
        <v>18</v>
      </c>
      <c r="H28" s="30">
        <v>224</v>
      </c>
      <c r="I28" s="31">
        <v>45989</v>
      </c>
      <c r="J28" s="7" t="s">
        <v>70</v>
      </c>
      <c r="K28" s="2" t="s">
        <v>546</v>
      </c>
      <c r="L28" s="2">
        <v>100</v>
      </c>
      <c r="M28" s="4">
        <v>46231</v>
      </c>
      <c r="AF28" s="4">
        <v>45989</v>
      </c>
      <c r="AG28" s="4">
        <v>46092</v>
      </c>
      <c r="AH28" s="47" t="s">
        <v>528</v>
      </c>
      <c r="AI28" s="48">
        <f>AG28+210</f>
        <v>46302</v>
      </c>
      <c r="AJ28" s="48">
        <f>AG28+277</f>
        <v>46369</v>
      </c>
      <c r="AK28" s="49" t="s">
        <v>70</v>
      </c>
    </row>
    <row r="29" spans="1:39" x14ac:dyDescent="0.2">
      <c r="A29" s="13">
        <v>25</v>
      </c>
      <c r="B29" s="22" t="s">
        <v>80</v>
      </c>
      <c r="C29" s="16" t="s">
        <v>18</v>
      </c>
      <c r="D29" s="31">
        <v>43365</v>
      </c>
      <c r="E29" s="16">
        <v>4</v>
      </c>
      <c r="F29" s="16">
        <v>3796</v>
      </c>
      <c r="G29" s="13" t="s">
        <v>18</v>
      </c>
      <c r="H29" s="30">
        <v>133</v>
      </c>
      <c r="I29" s="31">
        <v>45978</v>
      </c>
      <c r="J29" s="7" t="s">
        <v>68</v>
      </c>
      <c r="K29" s="2" t="s">
        <v>546</v>
      </c>
      <c r="L29" s="2">
        <v>110</v>
      </c>
      <c r="M29" s="4">
        <v>46231</v>
      </c>
      <c r="AF29" s="2" t="s">
        <v>555</v>
      </c>
      <c r="AG29" s="4">
        <v>46038</v>
      </c>
      <c r="AH29" s="47" t="s">
        <v>554</v>
      </c>
      <c r="AI29" s="48">
        <f>AG29+210</f>
        <v>46248</v>
      </c>
      <c r="AJ29" s="48">
        <f>AG29+277</f>
        <v>46315</v>
      </c>
      <c r="AK29" s="49" t="s">
        <v>68</v>
      </c>
    </row>
    <row r="30" spans="1:39" x14ac:dyDescent="0.2">
      <c r="A30" s="13">
        <v>26</v>
      </c>
      <c r="B30" s="22" t="s">
        <v>290</v>
      </c>
      <c r="C30" s="16" t="s">
        <v>18</v>
      </c>
      <c r="D30" s="31">
        <v>43366</v>
      </c>
      <c r="E30" s="16">
        <v>4</v>
      </c>
      <c r="F30" s="16">
        <v>3952</v>
      </c>
      <c r="G30" s="13" t="s">
        <v>18</v>
      </c>
      <c r="H30" s="16">
        <v>262</v>
      </c>
      <c r="I30" s="31">
        <v>45916</v>
      </c>
      <c r="J30" s="7" t="s">
        <v>64</v>
      </c>
      <c r="K30" s="2" t="s">
        <v>546</v>
      </c>
      <c r="L30" s="2"/>
      <c r="M30" s="4">
        <v>46231</v>
      </c>
    </row>
    <row r="31" spans="1:39" x14ac:dyDescent="0.2">
      <c r="A31" s="13">
        <v>27</v>
      </c>
      <c r="B31" s="22" t="s">
        <v>81</v>
      </c>
      <c r="C31" s="16" t="s">
        <v>61</v>
      </c>
      <c r="D31" s="31">
        <v>43372</v>
      </c>
      <c r="E31" s="16">
        <v>5</v>
      </c>
      <c r="F31" s="16">
        <v>5831</v>
      </c>
      <c r="G31" s="13" t="s">
        <v>82</v>
      </c>
      <c r="H31" s="30">
        <v>556</v>
      </c>
      <c r="I31" s="31">
        <v>45968</v>
      </c>
      <c r="J31" s="7" t="s">
        <v>70</v>
      </c>
      <c r="K31" s="2" t="s">
        <v>546</v>
      </c>
      <c r="L31" s="2">
        <v>110</v>
      </c>
      <c r="M31" s="4">
        <v>46231</v>
      </c>
      <c r="AF31" s="4">
        <v>45968</v>
      </c>
      <c r="AG31" s="4">
        <v>46047</v>
      </c>
      <c r="AH31" s="47" t="s">
        <v>556</v>
      </c>
      <c r="AI31" s="48">
        <f>AG31+210</f>
        <v>46257</v>
      </c>
      <c r="AJ31" s="48">
        <f>AG31+277</f>
        <v>46324</v>
      </c>
      <c r="AK31" s="49" t="s">
        <v>70</v>
      </c>
    </row>
    <row r="32" spans="1:39" x14ac:dyDescent="0.2">
      <c r="A32" s="13">
        <v>28</v>
      </c>
      <c r="B32" s="22" t="s">
        <v>83</v>
      </c>
      <c r="C32" s="13" t="s">
        <v>84</v>
      </c>
      <c r="D32" s="23">
        <v>43375</v>
      </c>
      <c r="E32" s="13">
        <v>5</v>
      </c>
      <c r="F32" s="13">
        <v>3443</v>
      </c>
      <c r="G32" s="13" t="s">
        <v>85</v>
      </c>
      <c r="H32" s="13">
        <v>32</v>
      </c>
      <c r="I32" s="23">
        <v>46151</v>
      </c>
      <c r="J32" s="7" t="s">
        <v>62</v>
      </c>
      <c r="K32" s="2" t="s">
        <v>546</v>
      </c>
      <c r="L32" s="2">
        <v>85</v>
      </c>
      <c r="M32" s="4">
        <v>46231</v>
      </c>
    </row>
    <row r="33" spans="1:39" x14ac:dyDescent="0.2">
      <c r="A33" s="13">
        <v>29</v>
      </c>
      <c r="B33" s="22" t="s">
        <v>86</v>
      </c>
      <c r="C33" s="13" t="s">
        <v>18</v>
      </c>
      <c r="D33" s="23">
        <v>43383</v>
      </c>
      <c r="E33" s="13">
        <v>4</v>
      </c>
      <c r="F33" s="13">
        <v>3770</v>
      </c>
      <c r="G33" s="13" t="s">
        <v>87</v>
      </c>
      <c r="H33" s="13">
        <v>38</v>
      </c>
      <c r="I33" s="23">
        <v>46016</v>
      </c>
      <c r="J33" s="7" t="s">
        <v>62</v>
      </c>
      <c r="K33" s="2" t="s">
        <v>546</v>
      </c>
      <c r="L33" s="2">
        <v>115</v>
      </c>
      <c r="M33" s="4">
        <v>46231</v>
      </c>
    </row>
    <row r="34" spans="1:39" x14ac:dyDescent="0.2">
      <c r="A34" s="13">
        <v>30</v>
      </c>
      <c r="B34" s="22" t="s">
        <v>88</v>
      </c>
      <c r="C34" s="13" t="s">
        <v>61</v>
      </c>
      <c r="D34" s="23">
        <v>43386</v>
      </c>
      <c r="E34" s="13">
        <v>3</v>
      </c>
      <c r="F34" s="13">
        <v>3511</v>
      </c>
      <c r="G34" s="13" t="s">
        <v>89</v>
      </c>
      <c r="H34" s="30">
        <v>108</v>
      </c>
      <c r="I34" s="31">
        <v>45881</v>
      </c>
      <c r="J34" s="7" t="s">
        <v>70</v>
      </c>
      <c r="K34" s="2" t="s">
        <v>546</v>
      </c>
      <c r="L34" s="2">
        <v>100</v>
      </c>
      <c r="M34" s="4">
        <v>46231</v>
      </c>
      <c r="AF34" s="4">
        <v>45881</v>
      </c>
      <c r="AG34" s="4">
        <v>46124</v>
      </c>
      <c r="AH34" s="4" t="s">
        <v>558</v>
      </c>
      <c r="AI34" s="48">
        <f>AG34+210</f>
        <v>46334</v>
      </c>
      <c r="AJ34" s="48">
        <f>AG34+277</f>
        <v>46401</v>
      </c>
      <c r="AK34" s="49" t="s">
        <v>70</v>
      </c>
    </row>
    <row r="35" spans="1:39" x14ac:dyDescent="0.2">
      <c r="A35" s="13">
        <v>31</v>
      </c>
      <c r="B35" s="22" t="s">
        <v>90</v>
      </c>
      <c r="C35" s="16" t="s">
        <v>61</v>
      </c>
      <c r="D35" s="31">
        <v>43397</v>
      </c>
      <c r="E35" s="16">
        <v>4</v>
      </c>
      <c r="F35" s="16">
        <v>5840</v>
      </c>
      <c r="G35" s="13" t="s">
        <v>91</v>
      </c>
      <c r="H35" s="30">
        <v>130</v>
      </c>
      <c r="I35" s="31">
        <v>45990</v>
      </c>
      <c r="J35" s="7" t="s">
        <v>62</v>
      </c>
      <c r="K35" s="2" t="s">
        <v>546</v>
      </c>
      <c r="L35" s="2">
        <v>110</v>
      </c>
      <c r="M35" s="4">
        <v>46231</v>
      </c>
      <c r="N35" s="4">
        <v>45990</v>
      </c>
      <c r="O35" s="4">
        <v>46229</v>
      </c>
      <c r="P35" s="4">
        <v>46255</v>
      </c>
      <c r="Q35" s="2" t="s">
        <v>49</v>
      </c>
      <c r="R35" s="2">
        <v>8</v>
      </c>
      <c r="S35" s="2" t="s">
        <v>570</v>
      </c>
      <c r="T35" s="2"/>
      <c r="AE35" s="2">
        <v>361</v>
      </c>
    </row>
    <row r="36" spans="1:39" x14ac:dyDescent="0.2">
      <c r="A36" s="13">
        <v>32</v>
      </c>
      <c r="B36" s="22" t="s">
        <v>35</v>
      </c>
      <c r="C36" s="16" t="s">
        <v>18</v>
      </c>
      <c r="D36" s="31">
        <v>43403</v>
      </c>
      <c r="E36" s="16">
        <v>4</v>
      </c>
      <c r="F36" s="16">
        <v>5506</v>
      </c>
      <c r="G36" s="13" t="s">
        <v>92</v>
      </c>
      <c r="H36" s="30">
        <v>258</v>
      </c>
      <c r="I36" s="31">
        <v>46250</v>
      </c>
      <c r="J36" s="7" t="s">
        <v>62</v>
      </c>
      <c r="K36" s="2" t="s">
        <v>546</v>
      </c>
      <c r="L36" s="2">
        <v>100</v>
      </c>
      <c r="M36" s="4">
        <v>46231</v>
      </c>
      <c r="U36" s="2" t="s">
        <v>25</v>
      </c>
      <c r="V36" s="4">
        <v>45548</v>
      </c>
      <c r="W36" s="4">
        <v>45974</v>
      </c>
      <c r="X36" s="5">
        <v>46250</v>
      </c>
      <c r="Y36" s="6">
        <v>6.25E-2</v>
      </c>
      <c r="Z36" s="2" t="s">
        <v>14</v>
      </c>
      <c r="AA36" s="2" t="s">
        <v>15</v>
      </c>
      <c r="AB36" s="6">
        <v>0.83333333333333337</v>
      </c>
      <c r="AC36" s="2" t="s">
        <v>17</v>
      </c>
      <c r="AD36" s="2">
        <f>X36-W36</f>
        <v>276</v>
      </c>
      <c r="AE36" s="2">
        <f>X36-V36</f>
        <v>702</v>
      </c>
      <c r="AM36">
        <v>26</v>
      </c>
    </row>
    <row r="37" spans="1:39" x14ac:dyDescent="0.2">
      <c r="A37" s="13">
        <v>33</v>
      </c>
      <c r="B37" s="22" t="s">
        <v>93</v>
      </c>
      <c r="C37" s="16" t="s">
        <v>61</v>
      </c>
      <c r="D37" s="31">
        <v>43428</v>
      </c>
      <c r="E37" s="16">
        <v>3</v>
      </c>
      <c r="F37" s="16">
        <v>4865</v>
      </c>
      <c r="G37" s="13" t="s">
        <v>94</v>
      </c>
      <c r="H37" s="30">
        <v>210</v>
      </c>
      <c r="I37" s="31">
        <v>45664</v>
      </c>
      <c r="J37" s="7" t="s">
        <v>70</v>
      </c>
      <c r="K37" s="2" t="s">
        <v>546</v>
      </c>
      <c r="L37" s="2">
        <v>110</v>
      </c>
      <c r="M37" s="4">
        <v>46231</v>
      </c>
      <c r="AF37" s="52">
        <v>45664</v>
      </c>
      <c r="AG37" s="52">
        <v>46178</v>
      </c>
      <c r="AH37" s="4" t="s">
        <v>560</v>
      </c>
      <c r="AI37" s="48">
        <f>AG37+210</f>
        <v>46388</v>
      </c>
      <c r="AJ37" s="48">
        <f>AG37+277</f>
        <v>46455</v>
      </c>
      <c r="AK37" s="50" t="s">
        <v>70</v>
      </c>
    </row>
    <row r="38" spans="1:39" x14ac:dyDescent="0.2">
      <c r="A38" s="13">
        <v>34</v>
      </c>
      <c r="B38" s="22" t="s">
        <v>95</v>
      </c>
      <c r="C38" s="16" t="s">
        <v>61</v>
      </c>
      <c r="D38" s="31">
        <v>43451</v>
      </c>
      <c r="E38" s="16">
        <v>3</v>
      </c>
      <c r="F38" s="16">
        <v>5371</v>
      </c>
      <c r="G38" s="13" t="s">
        <v>96</v>
      </c>
      <c r="H38" s="30">
        <v>273</v>
      </c>
      <c r="I38" s="31">
        <v>45957</v>
      </c>
      <c r="J38" s="7" t="s">
        <v>70</v>
      </c>
      <c r="K38" s="2" t="s">
        <v>546</v>
      </c>
      <c r="L38" s="2">
        <v>110</v>
      </c>
      <c r="M38" s="4">
        <v>46231</v>
      </c>
      <c r="AF38" s="4">
        <v>45957</v>
      </c>
      <c r="AG38" s="4">
        <v>46057</v>
      </c>
      <c r="AH38" s="47" t="s">
        <v>554</v>
      </c>
      <c r="AI38" s="48">
        <f>AG38+210</f>
        <v>46267</v>
      </c>
      <c r="AJ38" s="48">
        <f>AG38+277</f>
        <v>46334</v>
      </c>
      <c r="AK38" s="49" t="s">
        <v>70</v>
      </c>
    </row>
    <row r="39" spans="1:39" x14ac:dyDescent="0.2">
      <c r="A39" s="13">
        <v>35</v>
      </c>
      <c r="B39" s="22" t="s">
        <v>97</v>
      </c>
      <c r="C39" s="16" t="s">
        <v>18</v>
      </c>
      <c r="D39" s="31">
        <v>43457</v>
      </c>
      <c r="E39" s="16">
        <v>4</v>
      </c>
      <c r="F39" s="16">
        <v>5386</v>
      </c>
      <c r="G39" s="13" t="s">
        <v>98</v>
      </c>
      <c r="H39" s="30">
        <v>41</v>
      </c>
      <c r="I39" s="31">
        <v>45673</v>
      </c>
      <c r="J39" s="7" t="s">
        <v>64</v>
      </c>
      <c r="K39" s="2" t="s">
        <v>546</v>
      </c>
      <c r="L39" s="2"/>
      <c r="M39" s="4">
        <v>46231</v>
      </c>
    </row>
    <row r="40" spans="1:39" x14ac:dyDescent="0.2">
      <c r="A40" s="13">
        <v>36</v>
      </c>
      <c r="B40" s="32" t="s">
        <v>99</v>
      </c>
      <c r="C40" s="13" t="s">
        <v>18</v>
      </c>
      <c r="D40" s="23">
        <v>43508</v>
      </c>
      <c r="E40" s="13">
        <v>5</v>
      </c>
      <c r="F40" s="13">
        <v>6523</v>
      </c>
      <c r="G40" s="13" t="s">
        <v>100</v>
      </c>
      <c r="H40" s="13">
        <v>586</v>
      </c>
      <c r="I40" s="23">
        <v>45927</v>
      </c>
      <c r="J40" s="7" t="s">
        <v>68</v>
      </c>
      <c r="K40" s="2" t="s">
        <v>546</v>
      </c>
      <c r="L40" s="2">
        <v>120</v>
      </c>
      <c r="M40" s="4">
        <v>46231</v>
      </c>
      <c r="AF40" s="4">
        <v>45927</v>
      </c>
      <c r="AG40" s="4">
        <v>46001</v>
      </c>
      <c r="AH40" s="47" t="s">
        <v>12</v>
      </c>
      <c r="AI40" s="48">
        <f>AG40+210</f>
        <v>46211</v>
      </c>
      <c r="AJ40" s="48">
        <f>AG40+277</f>
        <v>46278</v>
      </c>
      <c r="AK40" s="49" t="s">
        <v>68</v>
      </c>
    </row>
    <row r="41" spans="1:39" x14ac:dyDescent="0.2">
      <c r="A41" s="13">
        <v>37</v>
      </c>
      <c r="B41" s="22" t="s">
        <v>101</v>
      </c>
      <c r="C41" s="13" t="s">
        <v>73</v>
      </c>
      <c r="D41" s="23">
        <v>43511</v>
      </c>
      <c r="E41" s="13">
        <v>5</v>
      </c>
      <c r="F41" s="13">
        <v>3374</v>
      </c>
      <c r="G41" s="13" t="s">
        <v>92</v>
      </c>
      <c r="H41" s="13">
        <v>536</v>
      </c>
      <c r="I41" s="23">
        <v>46061</v>
      </c>
      <c r="J41" s="7" t="s">
        <v>62</v>
      </c>
      <c r="K41" s="2" t="s">
        <v>546</v>
      </c>
      <c r="L41" s="2">
        <v>110</v>
      </c>
      <c r="M41" s="4">
        <v>46231</v>
      </c>
    </row>
    <row r="42" spans="1:39" x14ac:dyDescent="0.2">
      <c r="A42" s="13">
        <v>38</v>
      </c>
      <c r="B42" s="22" t="s">
        <v>102</v>
      </c>
      <c r="C42" s="13" t="s">
        <v>63</v>
      </c>
      <c r="D42" s="23">
        <v>43576</v>
      </c>
      <c r="E42" s="13">
        <v>5</v>
      </c>
      <c r="F42" s="13">
        <v>4098</v>
      </c>
      <c r="G42" s="13" t="s">
        <v>103</v>
      </c>
      <c r="H42" s="13">
        <v>571</v>
      </c>
      <c r="I42" s="23">
        <v>45994</v>
      </c>
      <c r="J42" s="7" t="s">
        <v>70</v>
      </c>
      <c r="K42" s="2" t="s">
        <v>546</v>
      </c>
      <c r="L42" s="2">
        <v>110</v>
      </c>
      <c r="M42" s="4">
        <v>46231</v>
      </c>
      <c r="AF42" s="4">
        <v>45994</v>
      </c>
      <c r="AG42" s="4">
        <v>46097</v>
      </c>
      <c r="AH42" s="47" t="s">
        <v>557</v>
      </c>
      <c r="AI42" s="48">
        <f>AG42+210</f>
        <v>46307</v>
      </c>
      <c r="AJ42" s="48">
        <f>AG42+277</f>
        <v>46374</v>
      </c>
      <c r="AK42" s="49" t="s">
        <v>70</v>
      </c>
    </row>
    <row r="43" spans="1:39" x14ac:dyDescent="0.2">
      <c r="A43" s="13">
        <v>39</v>
      </c>
      <c r="B43" s="22" t="s">
        <v>29</v>
      </c>
      <c r="C43" s="13" t="s">
        <v>61</v>
      </c>
      <c r="D43" s="23">
        <v>43651</v>
      </c>
      <c r="E43" s="13">
        <v>4</v>
      </c>
      <c r="F43" s="13">
        <v>4287</v>
      </c>
      <c r="G43" s="13" t="s">
        <v>104</v>
      </c>
      <c r="H43" s="13">
        <v>68</v>
      </c>
      <c r="I43" s="23">
        <v>46246</v>
      </c>
      <c r="J43" s="7" t="s">
        <v>62</v>
      </c>
      <c r="K43" s="2" t="s">
        <v>546</v>
      </c>
      <c r="L43" s="2">
        <v>120</v>
      </c>
      <c r="M43" s="4">
        <v>46231</v>
      </c>
      <c r="U43" s="2" t="s">
        <v>25</v>
      </c>
      <c r="V43" s="4">
        <v>45889</v>
      </c>
      <c r="W43" s="4">
        <v>45974</v>
      </c>
      <c r="X43" s="5">
        <v>46246</v>
      </c>
      <c r="Y43" s="6">
        <v>0.85416666666666663</v>
      </c>
      <c r="Z43" s="2" t="s">
        <v>14</v>
      </c>
      <c r="AA43" s="2" t="s">
        <v>15</v>
      </c>
      <c r="AB43" s="6">
        <v>0.95833333333333337</v>
      </c>
      <c r="AC43" s="2" t="s">
        <v>17</v>
      </c>
      <c r="AD43" s="2">
        <f>X43-W43</f>
        <v>272</v>
      </c>
      <c r="AE43" s="2">
        <f>X43-V43</f>
        <v>357</v>
      </c>
      <c r="AM43">
        <v>28</v>
      </c>
    </row>
    <row r="44" spans="1:39" x14ac:dyDescent="0.2">
      <c r="A44" s="13">
        <v>40</v>
      </c>
      <c r="B44" s="33" t="s">
        <v>105</v>
      </c>
      <c r="C44" s="34" t="s">
        <v>18</v>
      </c>
      <c r="D44" s="35">
        <v>43660</v>
      </c>
      <c r="E44" s="34">
        <v>4</v>
      </c>
      <c r="F44" s="34">
        <v>5033</v>
      </c>
      <c r="G44" s="34" t="s">
        <v>106</v>
      </c>
      <c r="H44" s="34">
        <v>600</v>
      </c>
      <c r="I44" s="35">
        <v>45952</v>
      </c>
      <c r="J44" s="7" t="s">
        <v>62</v>
      </c>
      <c r="K44" s="2" t="s">
        <v>546</v>
      </c>
      <c r="L44" s="2">
        <v>110</v>
      </c>
      <c r="M44" s="4">
        <v>46231</v>
      </c>
    </row>
    <row r="45" spans="1:39" x14ac:dyDescent="0.2">
      <c r="A45" s="13">
        <v>41</v>
      </c>
      <c r="B45" s="33" t="s">
        <v>107</v>
      </c>
      <c r="C45" s="34" t="s">
        <v>18</v>
      </c>
      <c r="D45" s="35">
        <v>43670</v>
      </c>
      <c r="E45" s="34">
        <v>2</v>
      </c>
      <c r="F45" s="34">
        <v>3609</v>
      </c>
      <c r="G45" s="34" t="s">
        <v>106</v>
      </c>
      <c r="H45" s="34">
        <v>595</v>
      </c>
      <c r="I45" s="35">
        <v>45223</v>
      </c>
      <c r="J45" s="7" t="s">
        <v>70</v>
      </c>
      <c r="K45" s="2" t="s">
        <v>546</v>
      </c>
      <c r="L45" s="2">
        <v>110</v>
      </c>
      <c r="M45" s="4">
        <v>46231</v>
      </c>
      <c r="AF45" s="4">
        <v>45979</v>
      </c>
      <c r="AG45" s="4">
        <v>46054</v>
      </c>
      <c r="AH45" s="47" t="s">
        <v>556</v>
      </c>
      <c r="AI45" s="48">
        <f>AG45+210</f>
        <v>46264</v>
      </c>
      <c r="AJ45" s="48">
        <f>AG45+277</f>
        <v>46331</v>
      </c>
      <c r="AK45" s="49" t="s">
        <v>70</v>
      </c>
    </row>
    <row r="46" spans="1:39" x14ac:dyDescent="0.2">
      <c r="A46" s="13">
        <v>42</v>
      </c>
      <c r="B46" s="33" t="s">
        <v>108</v>
      </c>
      <c r="C46" s="34" t="s">
        <v>73</v>
      </c>
      <c r="D46" s="35">
        <v>43674</v>
      </c>
      <c r="E46" s="34">
        <v>5</v>
      </c>
      <c r="F46" s="34">
        <v>5873</v>
      </c>
      <c r="G46" s="34" t="s">
        <v>96</v>
      </c>
      <c r="H46" s="34">
        <v>515</v>
      </c>
      <c r="I46" s="35">
        <v>46139</v>
      </c>
      <c r="J46" s="7" t="s">
        <v>62</v>
      </c>
      <c r="K46" s="2" t="s">
        <v>546</v>
      </c>
      <c r="L46" s="2">
        <v>110</v>
      </c>
      <c r="M46" s="4">
        <v>46231</v>
      </c>
    </row>
    <row r="47" spans="1:39" x14ac:dyDescent="0.2">
      <c r="A47" s="13">
        <v>43</v>
      </c>
      <c r="B47" s="22" t="s">
        <v>109</v>
      </c>
      <c r="C47" s="13" t="s">
        <v>61</v>
      </c>
      <c r="D47" s="23">
        <v>43691</v>
      </c>
      <c r="E47" s="13">
        <v>3</v>
      </c>
      <c r="F47" s="13">
        <v>5758</v>
      </c>
      <c r="G47" s="13" t="s">
        <v>96</v>
      </c>
      <c r="H47" s="13">
        <v>99</v>
      </c>
      <c r="I47" s="23">
        <v>45995</v>
      </c>
      <c r="J47" s="7" t="s">
        <v>62</v>
      </c>
      <c r="K47" s="2" t="s">
        <v>546</v>
      </c>
      <c r="L47" s="2">
        <v>120</v>
      </c>
      <c r="M47" s="4">
        <v>46231</v>
      </c>
      <c r="N47" s="4">
        <v>45995</v>
      </c>
      <c r="O47" s="4">
        <v>46086</v>
      </c>
      <c r="P47" s="4">
        <v>46255</v>
      </c>
      <c r="Q47" s="2" t="s">
        <v>528</v>
      </c>
      <c r="R47" s="2">
        <v>2</v>
      </c>
      <c r="S47" s="2" t="s">
        <v>570</v>
      </c>
      <c r="T47" s="2"/>
      <c r="AE47" s="2">
        <v>362</v>
      </c>
    </row>
    <row r="48" spans="1:39" x14ac:dyDescent="0.2">
      <c r="A48" s="13">
        <v>44</v>
      </c>
      <c r="B48" s="22" t="s">
        <v>110</v>
      </c>
      <c r="C48" s="13" t="s">
        <v>18</v>
      </c>
      <c r="D48" s="35">
        <v>43705</v>
      </c>
      <c r="E48" s="34">
        <v>4</v>
      </c>
      <c r="F48" s="34">
        <v>4094</v>
      </c>
      <c r="G48" s="34" t="s">
        <v>111</v>
      </c>
      <c r="H48" s="34">
        <v>243</v>
      </c>
      <c r="I48" s="35">
        <v>45919</v>
      </c>
      <c r="J48" s="7" t="s">
        <v>70</v>
      </c>
      <c r="K48" s="2" t="s">
        <v>546</v>
      </c>
      <c r="L48" s="2">
        <v>115</v>
      </c>
      <c r="M48" s="4">
        <v>46231</v>
      </c>
      <c r="AF48" s="4">
        <v>45919</v>
      </c>
      <c r="AG48" s="4">
        <v>46117</v>
      </c>
      <c r="AH48" s="4" t="s">
        <v>303</v>
      </c>
      <c r="AI48" s="48">
        <f>AG48+210</f>
        <v>46327</v>
      </c>
      <c r="AJ48" s="48">
        <f>AG48+277</f>
        <v>46394</v>
      </c>
      <c r="AK48" s="49" t="s">
        <v>70</v>
      </c>
    </row>
    <row r="49" spans="1:39" x14ac:dyDescent="0.2">
      <c r="A49" s="13">
        <v>45</v>
      </c>
      <c r="B49" s="22" t="s">
        <v>112</v>
      </c>
      <c r="C49" s="13" t="s">
        <v>18</v>
      </c>
      <c r="D49" s="23">
        <v>43728</v>
      </c>
      <c r="E49" s="13">
        <v>3</v>
      </c>
      <c r="F49" s="13">
        <v>3069</v>
      </c>
      <c r="G49" s="13" t="s">
        <v>106</v>
      </c>
      <c r="H49" s="13">
        <v>593</v>
      </c>
      <c r="I49" s="23">
        <v>45366</v>
      </c>
      <c r="J49" s="7" t="s">
        <v>64</v>
      </c>
      <c r="K49" s="2" t="s">
        <v>546</v>
      </c>
      <c r="L49" s="2"/>
      <c r="M49" s="4">
        <v>46231</v>
      </c>
    </row>
    <row r="50" spans="1:39" x14ac:dyDescent="0.2">
      <c r="A50" s="13">
        <v>46</v>
      </c>
      <c r="B50" s="22" t="s">
        <v>113</v>
      </c>
      <c r="C50" s="13" t="s">
        <v>61</v>
      </c>
      <c r="D50" s="23">
        <v>43732</v>
      </c>
      <c r="E50" s="13">
        <v>3</v>
      </c>
      <c r="F50" s="13">
        <v>4627</v>
      </c>
      <c r="G50" s="13" t="s">
        <v>114</v>
      </c>
      <c r="H50" s="13">
        <v>101</v>
      </c>
      <c r="I50" s="23">
        <v>45513</v>
      </c>
      <c r="J50" s="7" t="s">
        <v>68</v>
      </c>
      <c r="K50" s="2" t="s">
        <v>546</v>
      </c>
      <c r="L50" s="2">
        <v>110</v>
      </c>
      <c r="M50" s="4">
        <v>46231</v>
      </c>
      <c r="AF50" s="4">
        <v>45513</v>
      </c>
      <c r="AG50" s="4">
        <v>46137</v>
      </c>
      <c r="AH50" s="4" t="s">
        <v>20</v>
      </c>
      <c r="AI50" s="48">
        <f>AG50+210</f>
        <v>46347</v>
      </c>
      <c r="AJ50" s="48">
        <f>AG50+277</f>
        <v>46414</v>
      </c>
      <c r="AK50" s="49" t="s">
        <v>68</v>
      </c>
    </row>
    <row r="51" spans="1:39" x14ac:dyDescent="0.2">
      <c r="A51" s="13">
        <v>47</v>
      </c>
      <c r="B51" s="22" t="s">
        <v>115</v>
      </c>
      <c r="C51" s="13" t="s">
        <v>73</v>
      </c>
      <c r="D51" s="23">
        <v>43740</v>
      </c>
      <c r="E51" s="13">
        <v>4</v>
      </c>
      <c r="F51" s="13">
        <v>3441</v>
      </c>
      <c r="G51" s="13" t="s">
        <v>116</v>
      </c>
      <c r="H51" s="13">
        <v>535</v>
      </c>
      <c r="I51" s="23">
        <v>45980</v>
      </c>
      <c r="J51" s="7" t="s">
        <v>68</v>
      </c>
      <c r="K51" s="2" t="s">
        <v>546</v>
      </c>
      <c r="L51" s="2">
        <v>90</v>
      </c>
      <c r="M51" s="4">
        <v>46231</v>
      </c>
      <c r="AF51" s="4">
        <v>45980</v>
      </c>
      <c r="AG51" s="4">
        <v>46048</v>
      </c>
      <c r="AH51" s="47" t="s">
        <v>537</v>
      </c>
      <c r="AI51" s="48">
        <f>AG51+210</f>
        <v>46258</v>
      </c>
      <c r="AJ51" s="48">
        <f>AG51+277</f>
        <v>46325</v>
      </c>
      <c r="AK51" s="49" t="s">
        <v>68</v>
      </c>
    </row>
    <row r="52" spans="1:39" x14ac:dyDescent="0.2">
      <c r="A52" s="13">
        <v>48</v>
      </c>
      <c r="B52" s="22" t="s">
        <v>117</v>
      </c>
      <c r="C52" s="13" t="s">
        <v>61</v>
      </c>
      <c r="D52" s="23">
        <v>43742</v>
      </c>
      <c r="E52" s="13">
        <v>4</v>
      </c>
      <c r="F52" s="13">
        <v>4889</v>
      </c>
      <c r="G52" s="13" t="s">
        <v>100</v>
      </c>
      <c r="H52" s="13">
        <v>51</v>
      </c>
      <c r="I52" s="23">
        <v>45972</v>
      </c>
      <c r="J52" s="7" t="s">
        <v>62</v>
      </c>
      <c r="K52" s="2" t="s">
        <v>546</v>
      </c>
      <c r="L52" s="2">
        <v>110</v>
      </c>
      <c r="M52" s="4">
        <v>46231</v>
      </c>
    </row>
    <row r="53" spans="1:39" x14ac:dyDescent="0.2">
      <c r="A53" s="13">
        <v>49</v>
      </c>
      <c r="B53" s="22" t="s">
        <v>118</v>
      </c>
      <c r="C53" s="13" t="s">
        <v>61</v>
      </c>
      <c r="D53" s="35">
        <v>43744</v>
      </c>
      <c r="E53" s="34">
        <v>4</v>
      </c>
      <c r="F53" s="34">
        <v>5102</v>
      </c>
      <c r="G53" s="34" t="s">
        <v>100</v>
      </c>
      <c r="H53" s="34">
        <v>534</v>
      </c>
      <c r="I53" s="35">
        <v>46018</v>
      </c>
      <c r="J53" s="7" t="s">
        <v>62</v>
      </c>
      <c r="K53" s="2" t="s">
        <v>546</v>
      </c>
      <c r="L53" s="2">
        <v>110</v>
      </c>
      <c r="M53" s="4">
        <v>46231</v>
      </c>
      <c r="N53" s="4">
        <v>46018</v>
      </c>
      <c r="O53" s="4">
        <v>46206</v>
      </c>
      <c r="P53" s="4">
        <v>46261</v>
      </c>
      <c r="Q53" s="2" t="s">
        <v>571</v>
      </c>
      <c r="R53" s="2">
        <v>5</v>
      </c>
      <c r="S53" s="2" t="s">
        <v>570</v>
      </c>
      <c r="T53" s="2"/>
      <c r="AE53" s="2">
        <v>376</v>
      </c>
    </row>
    <row r="54" spans="1:39" x14ac:dyDescent="0.2">
      <c r="A54" s="13">
        <v>50</v>
      </c>
      <c r="B54" s="22" t="s">
        <v>119</v>
      </c>
      <c r="C54" s="13" t="s">
        <v>18</v>
      </c>
      <c r="D54" s="35">
        <v>43746</v>
      </c>
      <c r="E54" s="34">
        <v>4</v>
      </c>
      <c r="F54" s="34">
        <v>3034</v>
      </c>
      <c r="G54" s="34" t="s">
        <v>116</v>
      </c>
      <c r="H54" s="34">
        <v>163</v>
      </c>
      <c r="I54" s="35">
        <v>46062</v>
      </c>
      <c r="J54" s="7" t="s">
        <v>70</v>
      </c>
      <c r="K54" s="2" t="s">
        <v>546</v>
      </c>
      <c r="L54" s="2">
        <v>110</v>
      </c>
      <c r="M54" s="4">
        <v>46231</v>
      </c>
      <c r="AF54" s="4">
        <v>46062</v>
      </c>
      <c r="AG54" s="4">
        <v>46204</v>
      </c>
      <c r="AH54" s="4" t="s">
        <v>12</v>
      </c>
      <c r="AI54" s="48">
        <f>AG54+210</f>
        <v>46414</v>
      </c>
      <c r="AJ54" s="48">
        <f>AG54+277</f>
        <v>46481</v>
      </c>
      <c r="AK54" s="50" t="s">
        <v>70</v>
      </c>
    </row>
    <row r="55" spans="1:39" x14ac:dyDescent="0.2">
      <c r="A55" s="13">
        <v>51</v>
      </c>
      <c r="B55" s="22" t="s">
        <v>24</v>
      </c>
      <c r="C55" s="13" t="s">
        <v>61</v>
      </c>
      <c r="D55" s="35">
        <v>43754</v>
      </c>
      <c r="E55" s="34">
        <v>5</v>
      </c>
      <c r="F55" s="34">
        <v>3867</v>
      </c>
      <c r="G55" s="34" t="s">
        <v>100</v>
      </c>
      <c r="H55" s="34">
        <v>202</v>
      </c>
      <c r="I55" s="35">
        <v>46243</v>
      </c>
      <c r="J55" s="7" t="s">
        <v>62</v>
      </c>
      <c r="K55" s="2" t="s">
        <v>546</v>
      </c>
      <c r="L55" s="2">
        <v>120</v>
      </c>
      <c r="M55" s="4">
        <v>46231</v>
      </c>
      <c r="U55" s="2" t="s">
        <v>25</v>
      </c>
      <c r="V55" s="4">
        <v>45916</v>
      </c>
      <c r="W55" s="4">
        <v>45974</v>
      </c>
      <c r="X55" s="5">
        <v>46243</v>
      </c>
      <c r="Y55" s="6">
        <v>0.64583333333333337</v>
      </c>
      <c r="Z55" s="2" t="s">
        <v>14</v>
      </c>
      <c r="AA55" s="2" t="s">
        <v>15</v>
      </c>
      <c r="AB55" s="6">
        <v>0.83333333333333337</v>
      </c>
      <c r="AC55" s="2" t="s">
        <v>17</v>
      </c>
      <c r="AD55" s="2">
        <f>X55-W55</f>
        <v>269</v>
      </c>
      <c r="AE55" s="2">
        <f>X55-V55</f>
        <v>327</v>
      </c>
      <c r="AM55">
        <v>30</v>
      </c>
    </row>
    <row r="56" spans="1:39" x14ac:dyDescent="0.2">
      <c r="A56" s="13">
        <v>52</v>
      </c>
      <c r="B56" s="22" t="s">
        <v>120</v>
      </c>
      <c r="C56" s="34" t="s">
        <v>61</v>
      </c>
      <c r="D56" s="35">
        <v>43756</v>
      </c>
      <c r="E56" s="34">
        <v>3</v>
      </c>
      <c r="F56" s="34">
        <v>4600</v>
      </c>
      <c r="G56" s="34" t="s">
        <v>100</v>
      </c>
      <c r="H56" s="34">
        <v>9</v>
      </c>
      <c r="I56" s="35">
        <v>45916</v>
      </c>
      <c r="J56" s="7" t="s">
        <v>62</v>
      </c>
      <c r="K56" s="2" t="s">
        <v>546</v>
      </c>
      <c r="L56" s="2">
        <v>110</v>
      </c>
      <c r="M56" s="4">
        <v>46231</v>
      </c>
    </row>
    <row r="57" spans="1:39" x14ac:dyDescent="0.2">
      <c r="A57" s="13">
        <v>53</v>
      </c>
      <c r="B57" s="22" t="s">
        <v>121</v>
      </c>
      <c r="C57" s="34" t="s">
        <v>73</v>
      </c>
      <c r="D57" s="35">
        <v>43759</v>
      </c>
      <c r="E57" s="34">
        <v>3</v>
      </c>
      <c r="F57" s="34">
        <v>4115</v>
      </c>
      <c r="G57" s="34" t="s">
        <v>122</v>
      </c>
      <c r="H57" s="34">
        <v>549</v>
      </c>
      <c r="I57" s="35">
        <v>45756</v>
      </c>
      <c r="J57" s="7" t="s">
        <v>70</v>
      </c>
      <c r="K57" s="2" t="s">
        <v>546</v>
      </c>
      <c r="L57" s="2">
        <v>110</v>
      </c>
      <c r="M57" s="4">
        <v>46231</v>
      </c>
      <c r="AF57" s="4">
        <v>45756</v>
      </c>
      <c r="AG57" s="4">
        <v>46067</v>
      </c>
      <c r="AH57" s="47" t="s">
        <v>556</v>
      </c>
      <c r="AI57" s="48">
        <f>AG57+210</f>
        <v>46277</v>
      </c>
      <c r="AJ57" s="48">
        <f>AG57+277</f>
        <v>46344</v>
      </c>
      <c r="AK57" s="49" t="s">
        <v>70</v>
      </c>
    </row>
    <row r="58" spans="1:39" x14ac:dyDescent="0.2">
      <c r="A58" s="13">
        <v>54</v>
      </c>
      <c r="B58" s="22" t="s">
        <v>123</v>
      </c>
      <c r="C58" s="13" t="s">
        <v>18</v>
      </c>
      <c r="D58" s="23">
        <v>43781</v>
      </c>
      <c r="E58" s="13">
        <v>4</v>
      </c>
      <c r="F58" s="13">
        <v>4309</v>
      </c>
      <c r="G58" s="13" t="s">
        <v>124</v>
      </c>
      <c r="H58" s="16">
        <v>604</v>
      </c>
      <c r="I58" s="23">
        <v>45892</v>
      </c>
      <c r="J58" s="7" t="s">
        <v>70</v>
      </c>
      <c r="K58" s="2" t="s">
        <v>546</v>
      </c>
      <c r="L58" s="2">
        <v>110</v>
      </c>
      <c r="M58" s="4">
        <v>46231</v>
      </c>
      <c r="AF58" s="4">
        <v>45892</v>
      </c>
      <c r="AG58" s="4">
        <v>46113</v>
      </c>
      <c r="AH58" s="4" t="s">
        <v>554</v>
      </c>
      <c r="AI58" s="48">
        <f>AG58+210</f>
        <v>46323</v>
      </c>
      <c r="AJ58" s="48">
        <f>AG58+277</f>
        <v>46390</v>
      </c>
      <c r="AK58" s="49" t="s">
        <v>70</v>
      </c>
    </row>
    <row r="59" spans="1:39" x14ac:dyDescent="0.2">
      <c r="A59" s="13">
        <v>55</v>
      </c>
      <c r="B59" s="22" t="s">
        <v>125</v>
      </c>
      <c r="C59" s="13" t="s">
        <v>61</v>
      </c>
      <c r="D59" s="23">
        <v>43798</v>
      </c>
      <c r="E59" s="13">
        <v>5</v>
      </c>
      <c r="F59" s="13">
        <v>3961</v>
      </c>
      <c r="G59" s="13" t="s">
        <v>89</v>
      </c>
      <c r="H59" s="13">
        <v>551</v>
      </c>
      <c r="I59" s="23">
        <v>46181</v>
      </c>
      <c r="J59" s="7" t="s">
        <v>62</v>
      </c>
      <c r="K59" s="2" t="s">
        <v>546</v>
      </c>
      <c r="L59" s="2">
        <v>110</v>
      </c>
      <c r="M59" s="4">
        <v>46231</v>
      </c>
      <c r="N59" s="4">
        <v>46181</v>
      </c>
      <c r="O59" s="2"/>
      <c r="P59" s="4">
        <v>46255</v>
      </c>
      <c r="Q59" s="2" t="s">
        <v>528</v>
      </c>
      <c r="R59" s="2">
        <v>1</v>
      </c>
      <c r="S59" s="2" t="s">
        <v>570</v>
      </c>
      <c r="T59" s="2"/>
      <c r="AE59" s="2">
        <v>364</v>
      </c>
    </row>
    <row r="60" spans="1:39" x14ac:dyDescent="0.2">
      <c r="A60" s="13">
        <v>56</v>
      </c>
      <c r="B60" s="22" t="s">
        <v>126</v>
      </c>
      <c r="C60" s="13" t="s">
        <v>61</v>
      </c>
      <c r="D60" s="23">
        <v>43806</v>
      </c>
      <c r="E60" s="13">
        <v>4</v>
      </c>
      <c r="F60" s="13">
        <v>4074</v>
      </c>
      <c r="G60" s="13" t="s">
        <v>104</v>
      </c>
      <c r="H60" s="13">
        <v>255</v>
      </c>
      <c r="I60" s="23">
        <v>45586</v>
      </c>
      <c r="J60" s="7" t="s">
        <v>70</v>
      </c>
      <c r="K60" s="2" t="s">
        <v>546</v>
      </c>
      <c r="L60" s="2">
        <v>110</v>
      </c>
      <c r="M60" s="4">
        <v>46231</v>
      </c>
      <c r="AF60" s="4">
        <v>45951</v>
      </c>
      <c r="AG60" s="4">
        <v>46052</v>
      </c>
      <c r="AH60" s="47" t="s">
        <v>537</v>
      </c>
      <c r="AI60" s="48">
        <f>AG60+210</f>
        <v>46262</v>
      </c>
      <c r="AJ60" s="48">
        <f>AG60+277</f>
        <v>46329</v>
      </c>
      <c r="AK60" s="49" t="s">
        <v>70</v>
      </c>
    </row>
    <row r="61" spans="1:39" x14ac:dyDescent="0.2">
      <c r="A61" s="13">
        <v>57</v>
      </c>
      <c r="B61" s="22" t="s">
        <v>27</v>
      </c>
      <c r="C61" s="13" t="s">
        <v>61</v>
      </c>
      <c r="D61" s="35">
        <v>43815</v>
      </c>
      <c r="E61" s="34">
        <v>4</v>
      </c>
      <c r="F61" s="34">
        <v>3225</v>
      </c>
      <c r="G61" s="34" t="s">
        <v>127</v>
      </c>
      <c r="H61" s="34">
        <v>247</v>
      </c>
      <c r="I61" s="35">
        <v>46246</v>
      </c>
      <c r="J61" s="7" t="s">
        <v>62</v>
      </c>
      <c r="K61" s="2" t="s">
        <v>546</v>
      </c>
      <c r="L61" s="2"/>
      <c r="M61" s="4">
        <v>46231</v>
      </c>
      <c r="U61" s="2" t="s">
        <v>20</v>
      </c>
      <c r="V61" s="4">
        <v>45859</v>
      </c>
      <c r="W61" s="4">
        <v>45962</v>
      </c>
      <c r="X61" s="5">
        <v>46246</v>
      </c>
      <c r="Y61" s="6">
        <v>0.83333333333333337</v>
      </c>
      <c r="Z61" s="2" t="s">
        <v>14</v>
      </c>
      <c r="AA61" s="2" t="s">
        <v>15</v>
      </c>
      <c r="AB61" s="6">
        <v>0.91666666666666663</v>
      </c>
      <c r="AC61" s="2" t="s">
        <v>17</v>
      </c>
      <c r="AD61" s="2">
        <f>X61-W61</f>
        <v>284</v>
      </c>
      <c r="AE61" s="2">
        <f>X61-V61</f>
        <v>387</v>
      </c>
      <c r="AM61">
        <v>30</v>
      </c>
    </row>
    <row r="62" spans="1:39" x14ac:dyDescent="0.2">
      <c r="A62" s="13">
        <v>58</v>
      </c>
      <c r="B62" s="22" t="s">
        <v>128</v>
      </c>
      <c r="C62" s="36" t="s">
        <v>61</v>
      </c>
      <c r="D62" s="37">
        <v>43823</v>
      </c>
      <c r="E62" s="36">
        <v>4</v>
      </c>
      <c r="F62" s="36">
        <v>4401</v>
      </c>
      <c r="G62" s="36" t="s">
        <v>124</v>
      </c>
      <c r="H62" s="36">
        <v>512</v>
      </c>
      <c r="I62" s="37">
        <v>45893</v>
      </c>
      <c r="J62" s="7" t="s">
        <v>62</v>
      </c>
      <c r="K62" s="2" t="s">
        <v>546</v>
      </c>
      <c r="L62" s="2">
        <v>110</v>
      </c>
      <c r="M62" s="4">
        <v>46231</v>
      </c>
      <c r="N62" s="4">
        <v>45893</v>
      </c>
      <c r="O62" s="4">
        <v>46215</v>
      </c>
      <c r="P62" s="4">
        <v>46260</v>
      </c>
      <c r="Q62" s="2" t="s">
        <v>571</v>
      </c>
      <c r="R62" s="2">
        <v>5</v>
      </c>
      <c r="S62" s="2" t="s">
        <v>570</v>
      </c>
      <c r="T62" s="2"/>
      <c r="AE62" s="2">
        <v>373</v>
      </c>
    </row>
    <row r="63" spans="1:39" x14ac:dyDescent="0.2">
      <c r="A63" s="13">
        <v>59</v>
      </c>
      <c r="B63" s="22" t="s">
        <v>129</v>
      </c>
      <c r="C63" s="34" t="s">
        <v>61</v>
      </c>
      <c r="D63" s="35">
        <v>43829</v>
      </c>
      <c r="E63" s="34">
        <v>4</v>
      </c>
      <c r="F63" s="34">
        <v>4851</v>
      </c>
      <c r="G63" s="34" t="s">
        <v>104</v>
      </c>
      <c r="H63" s="34">
        <v>226</v>
      </c>
      <c r="I63" s="35">
        <v>45737</v>
      </c>
      <c r="J63" s="7" t="s">
        <v>68</v>
      </c>
      <c r="K63" s="2" t="s">
        <v>546</v>
      </c>
      <c r="L63" s="2">
        <v>120</v>
      </c>
      <c r="M63" s="4">
        <v>46231</v>
      </c>
      <c r="AF63" s="4">
        <v>45737</v>
      </c>
      <c r="AG63" s="4">
        <v>46130</v>
      </c>
      <c r="AH63" s="4" t="s">
        <v>558</v>
      </c>
      <c r="AI63" s="48">
        <f>AG63+210</f>
        <v>46340</v>
      </c>
      <c r="AJ63" s="48">
        <f>AG63+277</f>
        <v>46407</v>
      </c>
      <c r="AK63" s="49" t="s">
        <v>68</v>
      </c>
    </row>
    <row r="64" spans="1:39" x14ac:dyDescent="0.2">
      <c r="A64" s="13">
        <v>60</v>
      </c>
      <c r="B64" s="22" t="s">
        <v>130</v>
      </c>
      <c r="C64" s="13" t="s">
        <v>18</v>
      </c>
      <c r="D64" s="23">
        <v>43836</v>
      </c>
      <c r="E64" s="13">
        <v>4</v>
      </c>
      <c r="F64" s="13">
        <v>5000</v>
      </c>
      <c r="G64" s="13" t="s">
        <v>116</v>
      </c>
      <c r="H64" s="13">
        <v>586</v>
      </c>
      <c r="I64" s="23">
        <v>45942</v>
      </c>
      <c r="J64" s="7" t="s">
        <v>68</v>
      </c>
      <c r="K64" s="2" t="s">
        <v>546</v>
      </c>
      <c r="L64" s="2">
        <v>100</v>
      </c>
      <c r="M64" s="4">
        <v>46231</v>
      </c>
      <c r="AF64" s="4">
        <v>45942</v>
      </c>
      <c r="AG64" s="4">
        <v>46012</v>
      </c>
      <c r="AH64" s="47" t="s">
        <v>537</v>
      </c>
      <c r="AI64" s="48">
        <f>AG64+210</f>
        <v>46222</v>
      </c>
      <c r="AJ64" s="48">
        <f>AG64+277</f>
        <v>46289</v>
      </c>
      <c r="AK64" s="49" t="s">
        <v>68</v>
      </c>
    </row>
    <row r="65" spans="1:39" x14ac:dyDescent="0.2">
      <c r="A65" s="13">
        <v>61</v>
      </c>
      <c r="B65" s="33" t="s">
        <v>131</v>
      </c>
      <c r="C65" s="34" t="s">
        <v>61</v>
      </c>
      <c r="D65" s="35">
        <v>43846</v>
      </c>
      <c r="E65" s="34">
        <v>4</v>
      </c>
      <c r="F65" s="34">
        <v>5347</v>
      </c>
      <c r="G65" s="34" t="s">
        <v>132</v>
      </c>
      <c r="H65" s="34">
        <v>150</v>
      </c>
      <c r="I65" s="35">
        <v>45904</v>
      </c>
      <c r="J65" s="7" t="s">
        <v>68</v>
      </c>
      <c r="K65" s="2" t="s">
        <v>546</v>
      </c>
      <c r="L65" s="2">
        <v>110</v>
      </c>
      <c r="M65" s="4">
        <v>46231</v>
      </c>
      <c r="AF65" s="4">
        <v>45904</v>
      </c>
      <c r="AG65" s="4">
        <v>46013</v>
      </c>
      <c r="AH65" s="47" t="s">
        <v>537</v>
      </c>
      <c r="AI65" s="48">
        <f>AG65+210</f>
        <v>46223</v>
      </c>
      <c r="AJ65" s="48">
        <f>AG65+277</f>
        <v>46290</v>
      </c>
      <c r="AK65" s="49" t="s">
        <v>68</v>
      </c>
    </row>
    <row r="66" spans="1:39" x14ac:dyDescent="0.2">
      <c r="A66" s="13">
        <v>62</v>
      </c>
      <c r="B66" s="22" t="s">
        <v>133</v>
      </c>
      <c r="C66" s="13" t="s">
        <v>18</v>
      </c>
      <c r="D66" s="23">
        <v>43879</v>
      </c>
      <c r="E66" s="13">
        <v>4</v>
      </c>
      <c r="F66" s="13">
        <v>5005</v>
      </c>
      <c r="G66" s="13" t="s">
        <v>96</v>
      </c>
      <c r="H66" s="13">
        <v>567</v>
      </c>
      <c r="I66" s="23">
        <v>46081</v>
      </c>
      <c r="J66" s="7" t="s">
        <v>62</v>
      </c>
      <c r="K66" s="2" t="s">
        <v>546</v>
      </c>
      <c r="L66" s="2">
        <v>120</v>
      </c>
      <c r="M66" s="4">
        <v>46231</v>
      </c>
    </row>
    <row r="67" spans="1:39" x14ac:dyDescent="0.2">
      <c r="A67" s="13">
        <v>63</v>
      </c>
      <c r="B67" s="22" t="s">
        <v>134</v>
      </c>
      <c r="C67" s="38" t="s">
        <v>73</v>
      </c>
      <c r="D67" s="23">
        <v>43897</v>
      </c>
      <c r="E67" s="13">
        <v>4</v>
      </c>
      <c r="F67" s="13">
        <v>3934</v>
      </c>
      <c r="G67" s="13" t="s">
        <v>89</v>
      </c>
      <c r="H67" s="13">
        <v>607</v>
      </c>
      <c r="I67" s="23">
        <v>46043</v>
      </c>
      <c r="J67" s="7" t="s">
        <v>62</v>
      </c>
      <c r="K67" s="2" t="s">
        <v>546</v>
      </c>
      <c r="L67" s="2">
        <v>110</v>
      </c>
      <c r="M67" s="4">
        <v>46231</v>
      </c>
      <c r="N67" s="4">
        <v>46043</v>
      </c>
      <c r="O67" s="4">
        <v>46230</v>
      </c>
      <c r="P67" s="4">
        <v>46251</v>
      </c>
      <c r="Q67" s="2" t="s">
        <v>574</v>
      </c>
      <c r="R67" s="2">
        <v>6</v>
      </c>
      <c r="S67" s="2" t="s">
        <v>570</v>
      </c>
      <c r="T67" s="2"/>
      <c r="AE67" s="2">
        <v>355</v>
      </c>
    </row>
    <row r="68" spans="1:39" x14ac:dyDescent="0.2">
      <c r="A68" s="13">
        <v>2</v>
      </c>
      <c r="B68" s="22" t="s">
        <v>564</v>
      </c>
      <c r="C68" s="66" t="s">
        <v>61</v>
      </c>
      <c r="D68" s="67">
        <v>43944</v>
      </c>
      <c r="E68" s="66">
        <v>2</v>
      </c>
      <c r="F68" s="66">
        <v>2406</v>
      </c>
      <c r="G68" s="68"/>
      <c r="H68" s="69"/>
      <c r="I68" s="68"/>
      <c r="J68" s="70" t="s">
        <v>565</v>
      </c>
      <c r="M68" s="4">
        <v>46231</v>
      </c>
    </row>
    <row r="69" spans="1:39" x14ac:dyDescent="0.2">
      <c r="A69" s="13">
        <v>64</v>
      </c>
      <c r="B69" s="22" t="s">
        <v>32</v>
      </c>
      <c r="C69" s="13" t="s">
        <v>18</v>
      </c>
      <c r="D69" s="23">
        <v>43988</v>
      </c>
      <c r="E69" s="13">
        <v>4</v>
      </c>
      <c r="F69" s="13">
        <v>3845</v>
      </c>
      <c r="G69" s="13" t="s">
        <v>135</v>
      </c>
      <c r="H69" s="13" t="s">
        <v>136</v>
      </c>
      <c r="I69" s="23">
        <v>46248</v>
      </c>
      <c r="J69" s="7" t="s">
        <v>62</v>
      </c>
      <c r="K69" s="2" t="s">
        <v>546</v>
      </c>
      <c r="L69" s="2">
        <v>110</v>
      </c>
      <c r="M69" s="4">
        <v>46231</v>
      </c>
      <c r="U69" s="2" t="s">
        <v>25</v>
      </c>
      <c r="V69" s="4">
        <v>45907</v>
      </c>
      <c r="W69" s="4">
        <v>45979</v>
      </c>
      <c r="X69" s="5">
        <v>46248</v>
      </c>
      <c r="Y69" s="6">
        <v>0.29166666666666669</v>
      </c>
      <c r="Z69" s="2" t="s">
        <v>14</v>
      </c>
      <c r="AA69" s="2" t="s">
        <v>33</v>
      </c>
      <c r="AB69" s="6">
        <v>0.875</v>
      </c>
      <c r="AC69" s="2" t="s">
        <v>17</v>
      </c>
      <c r="AD69" s="2">
        <f>X69-W69</f>
        <v>269</v>
      </c>
      <c r="AE69" s="2">
        <f>X69-V69</f>
        <v>341</v>
      </c>
      <c r="AM69">
        <v>28</v>
      </c>
    </row>
    <row r="70" spans="1:39" x14ac:dyDescent="0.2">
      <c r="A70" s="13">
        <v>65</v>
      </c>
      <c r="B70" s="22" t="s">
        <v>137</v>
      </c>
      <c r="C70" s="13" t="s">
        <v>61</v>
      </c>
      <c r="D70" s="23">
        <v>43994</v>
      </c>
      <c r="E70" s="13">
        <v>1</v>
      </c>
      <c r="F70" s="13"/>
      <c r="G70" s="13" t="s">
        <v>138</v>
      </c>
      <c r="H70" s="13">
        <v>261</v>
      </c>
      <c r="I70" s="23">
        <v>45862</v>
      </c>
      <c r="J70" s="7" t="s">
        <v>68</v>
      </c>
      <c r="K70" s="2" t="s">
        <v>546</v>
      </c>
      <c r="L70" s="2">
        <v>90</v>
      </c>
      <c r="M70" s="4">
        <v>46231</v>
      </c>
      <c r="AF70" s="4">
        <v>45862</v>
      </c>
      <c r="AG70" s="4">
        <v>45996</v>
      </c>
      <c r="AH70" s="47" t="s">
        <v>49</v>
      </c>
      <c r="AI70" s="48">
        <f>AG70+210</f>
        <v>46206</v>
      </c>
      <c r="AJ70" s="48">
        <f>AG70+277</f>
        <v>46273</v>
      </c>
      <c r="AK70" s="49" t="s">
        <v>68</v>
      </c>
    </row>
    <row r="71" spans="1:39" x14ac:dyDescent="0.2">
      <c r="A71" s="13">
        <v>66</v>
      </c>
      <c r="B71" s="22" t="s">
        <v>139</v>
      </c>
      <c r="C71" s="13" t="s">
        <v>61</v>
      </c>
      <c r="D71" s="23">
        <v>44018</v>
      </c>
      <c r="E71" s="13">
        <v>3</v>
      </c>
      <c r="F71" s="13">
        <v>4005</v>
      </c>
      <c r="G71" s="13" t="s">
        <v>140</v>
      </c>
      <c r="H71" s="13">
        <v>253</v>
      </c>
      <c r="I71" s="23">
        <v>45775</v>
      </c>
      <c r="J71" s="7" t="s">
        <v>62</v>
      </c>
      <c r="K71" s="2" t="s">
        <v>546</v>
      </c>
      <c r="L71" s="2">
        <v>115</v>
      </c>
      <c r="M71" s="4">
        <v>46231</v>
      </c>
      <c r="N71" s="4">
        <v>45775</v>
      </c>
      <c r="O71" s="4">
        <v>46206</v>
      </c>
      <c r="P71" s="4">
        <v>46261</v>
      </c>
      <c r="Q71" s="2" t="s">
        <v>528</v>
      </c>
      <c r="R71" s="2">
        <v>13</v>
      </c>
      <c r="S71" s="2" t="s">
        <v>570</v>
      </c>
      <c r="T71" s="2"/>
      <c r="AE71" s="2">
        <v>377</v>
      </c>
    </row>
    <row r="72" spans="1:39" x14ac:dyDescent="0.2">
      <c r="A72" s="13">
        <v>67</v>
      </c>
      <c r="B72" s="22" t="s">
        <v>141</v>
      </c>
      <c r="C72" s="13" t="s">
        <v>61</v>
      </c>
      <c r="D72" s="23">
        <v>44021</v>
      </c>
      <c r="E72" s="13">
        <v>4</v>
      </c>
      <c r="F72" s="13">
        <v>3520</v>
      </c>
      <c r="G72" s="13" t="s">
        <v>89</v>
      </c>
      <c r="H72" s="13">
        <v>68</v>
      </c>
      <c r="I72" s="23">
        <v>46218</v>
      </c>
      <c r="J72" s="7" t="s">
        <v>62</v>
      </c>
      <c r="K72" s="2" t="s">
        <v>546</v>
      </c>
      <c r="L72" s="2">
        <v>110</v>
      </c>
      <c r="M72" s="4">
        <v>46231</v>
      </c>
    </row>
    <row r="73" spans="1:39" x14ac:dyDescent="0.2">
      <c r="A73" s="13">
        <v>68</v>
      </c>
      <c r="B73" s="22" t="s">
        <v>142</v>
      </c>
      <c r="C73" s="13" t="s">
        <v>73</v>
      </c>
      <c r="D73" s="23">
        <v>44029</v>
      </c>
      <c r="E73" s="13">
        <v>3</v>
      </c>
      <c r="F73" s="13">
        <v>3366</v>
      </c>
      <c r="G73" s="13" t="s">
        <v>143</v>
      </c>
      <c r="H73" s="13">
        <v>597</v>
      </c>
      <c r="I73" s="23">
        <v>45667</v>
      </c>
      <c r="J73" s="7" t="s">
        <v>64</v>
      </c>
      <c r="K73" s="2" t="s">
        <v>546</v>
      </c>
      <c r="L73" s="2">
        <v>80</v>
      </c>
      <c r="M73" s="4">
        <v>46231</v>
      </c>
    </row>
    <row r="74" spans="1:39" x14ac:dyDescent="0.2">
      <c r="A74" s="13">
        <v>69</v>
      </c>
      <c r="B74" s="22" t="s">
        <v>42</v>
      </c>
      <c r="C74" s="13" t="s">
        <v>61</v>
      </c>
      <c r="D74" s="23">
        <v>44036</v>
      </c>
      <c r="E74" s="13">
        <v>4</v>
      </c>
      <c r="F74" s="13">
        <v>4856</v>
      </c>
      <c r="G74" s="13" t="s">
        <v>96</v>
      </c>
      <c r="H74" s="13">
        <v>601</v>
      </c>
      <c r="I74" s="23">
        <v>46259</v>
      </c>
      <c r="J74" s="7" t="s">
        <v>62</v>
      </c>
      <c r="K74" s="2" t="s">
        <v>546</v>
      </c>
      <c r="L74" s="2">
        <v>120</v>
      </c>
      <c r="M74" s="4">
        <v>46231</v>
      </c>
      <c r="U74" s="2" t="s">
        <v>25</v>
      </c>
      <c r="V74" s="4">
        <v>45920</v>
      </c>
      <c r="W74" s="4">
        <v>45983</v>
      </c>
      <c r="X74" s="5">
        <v>46259</v>
      </c>
      <c r="Y74" s="6">
        <v>0.44791666666666669</v>
      </c>
      <c r="Z74" s="2" t="s">
        <v>14</v>
      </c>
      <c r="AA74" s="2" t="s">
        <v>15</v>
      </c>
      <c r="AB74" s="6">
        <v>0.60416666666666663</v>
      </c>
      <c r="AC74" s="2" t="s">
        <v>17</v>
      </c>
      <c r="AD74" s="2">
        <f>X74-W74</f>
        <v>276</v>
      </c>
      <c r="AE74" s="2">
        <f>X74-V74</f>
        <v>339</v>
      </c>
      <c r="AM74">
        <v>28</v>
      </c>
    </row>
    <row r="75" spans="1:39" x14ac:dyDescent="0.2">
      <c r="A75" s="13">
        <v>70</v>
      </c>
      <c r="B75" s="22" t="s">
        <v>144</v>
      </c>
      <c r="C75" s="13" t="s">
        <v>61</v>
      </c>
      <c r="D75" s="23">
        <v>44059</v>
      </c>
      <c r="E75" s="13">
        <v>4</v>
      </c>
      <c r="F75" s="13">
        <v>5012</v>
      </c>
      <c r="G75" s="13" t="s">
        <v>89</v>
      </c>
      <c r="H75" s="13">
        <v>531</v>
      </c>
      <c r="I75" s="23">
        <v>46165</v>
      </c>
      <c r="J75" s="7" t="s">
        <v>62</v>
      </c>
      <c r="K75" s="2" t="s">
        <v>546</v>
      </c>
      <c r="L75" s="2">
        <v>115</v>
      </c>
      <c r="M75" s="4">
        <v>46231</v>
      </c>
    </row>
    <row r="76" spans="1:39" x14ac:dyDescent="0.2">
      <c r="A76" s="13">
        <v>71</v>
      </c>
      <c r="B76" s="22" t="s">
        <v>145</v>
      </c>
      <c r="C76" s="13" t="s">
        <v>73</v>
      </c>
      <c r="D76" s="23">
        <v>44059</v>
      </c>
      <c r="E76" s="13">
        <v>3</v>
      </c>
      <c r="F76" s="13">
        <v>3651</v>
      </c>
      <c r="G76" s="13" t="s">
        <v>143</v>
      </c>
      <c r="H76" s="13">
        <v>515</v>
      </c>
      <c r="I76" s="23">
        <v>45987</v>
      </c>
      <c r="J76" s="7" t="s">
        <v>70</v>
      </c>
      <c r="K76" s="2" t="s">
        <v>546</v>
      </c>
      <c r="L76" s="2">
        <v>100</v>
      </c>
      <c r="M76" s="4">
        <v>46231</v>
      </c>
      <c r="AF76" s="4">
        <v>45987</v>
      </c>
      <c r="AG76" s="4">
        <v>46114</v>
      </c>
      <c r="AH76" s="4" t="s">
        <v>554</v>
      </c>
      <c r="AI76" s="48">
        <f>AG76+210</f>
        <v>46324</v>
      </c>
      <c r="AJ76" s="48">
        <f>AG76+277</f>
        <v>46391</v>
      </c>
      <c r="AK76" s="49" t="s">
        <v>70</v>
      </c>
    </row>
    <row r="77" spans="1:39" x14ac:dyDescent="0.2">
      <c r="A77" s="13">
        <v>72</v>
      </c>
      <c r="B77" s="22" t="s">
        <v>146</v>
      </c>
      <c r="C77" s="13" t="s">
        <v>61</v>
      </c>
      <c r="D77" s="23">
        <v>44071</v>
      </c>
      <c r="E77" s="13">
        <v>3</v>
      </c>
      <c r="F77" s="13">
        <v>3502</v>
      </c>
      <c r="G77" s="13" t="s">
        <v>96</v>
      </c>
      <c r="H77" s="13" t="s">
        <v>147</v>
      </c>
      <c r="I77" s="23">
        <v>45670</v>
      </c>
      <c r="J77" s="7" t="s">
        <v>68</v>
      </c>
      <c r="K77" s="2" t="s">
        <v>546</v>
      </c>
      <c r="L77" s="2">
        <v>100</v>
      </c>
      <c r="M77" s="4">
        <v>46231</v>
      </c>
      <c r="AF77" s="4">
        <v>45670</v>
      </c>
      <c r="AG77" s="4">
        <v>46039</v>
      </c>
      <c r="AH77" s="47" t="s">
        <v>554</v>
      </c>
      <c r="AI77" s="48">
        <f>AG77+210</f>
        <v>46249</v>
      </c>
      <c r="AJ77" s="48">
        <f>AG77+277</f>
        <v>46316</v>
      </c>
      <c r="AK77" s="49" t="s">
        <v>68</v>
      </c>
    </row>
    <row r="78" spans="1:39" x14ac:dyDescent="0.2">
      <c r="A78" s="13">
        <v>73</v>
      </c>
      <c r="B78" s="22" t="s">
        <v>148</v>
      </c>
      <c r="C78" s="13" t="s">
        <v>18</v>
      </c>
      <c r="D78" s="23">
        <v>44076</v>
      </c>
      <c r="E78" s="13">
        <v>4</v>
      </c>
      <c r="F78" s="13">
        <v>3005</v>
      </c>
      <c r="G78" s="13" t="s">
        <v>149</v>
      </c>
      <c r="H78" s="13" t="s">
        <v>150</v>
      </c>
      <c r="I78" s="23">
        <v>46050</v>
      </c>
      <c r="J78" s="7" t="s">
        <v>62</v>
      </c>
      <c r="K78" s="2" t="s">
        <v>546</v>
      </c>
      <c r="L78" s="2">
        <v>90</v>
      </c>
      <c r="M78" s="4">
        <v>46231</v>
      </c>
    </row>
    <row r="79" spans="1:39" x14ac:dyDescent="0.2">
      <c r="A79" s="13">
        <v>74</v>
      </c>
      <c r="B79" s="22" t="s">
        <v>151</v>
      </c>
      <c r="C79" s="16" t="s">
        <v>61</v>
      </c>
      <c r="D79" s="31">
        <v>44081</v>
      </c>
      <c r="E79" s="16">
        <v>3</v>
      </c>
      <c r="F79" s="16">
        <v>3295</v>
      </c>
      <c r="G79" s="16" t="s">
        <v>89</v>
      </c>
      <c r="H79" s="16">
        <v>603</v>
      </c>
      <c r="I79" s="31">
        <v>46130</v>
      </c>
      <c r="J79" s="7" t="s">
        <v>62</v>
      </c>
      <c r="K79" s="2" t="s">
        <v>546</v>
      </c>
      <c r="L79" s="2">
        <v>110</v>
      </c>
      <c r="M79" s="4">
        <v>46231</v>
      </c>
      <c r="AF79" s="4">
        <v>46130</v>
      </c>
      <c r="AG79" s="4">
        <v>46206</v>
      </c>
      <c r="AH79" s="4" t="s">
        <v>20</v>
      </c>
      <c r="AI79" s="48">
        <f>AG79+210</f>
        <v>46416</v>
      </c>
      <c r="AJ79" s="48">
        <f>AG79+277</f>
        <v>46483</v>
      </c>
      <c r="AK79" s="50" t="s">
        <v>70</v>
      </c>
    </row>
    <row r="80" spans="1:39" x14ac:dyDescent="0.2">
      <c r="A80" s="13">
        <v>75</v>
      </c>
      <c r="B80" s="22" t="s">
        <v>152</v>
      </c>
      <c r="C80" s="16" t="s">
        <v>73</v>
      </c>
      <c r="D80" s="31">
        <v>44086</v>
      </c>
      <c r="E80" s="16">
        <v>3</v>
      </c>
      <c r="F80" s="16">
        <v>3927</v>
      </c>
      <c r="G80" s="16" t="s">
        <v>114</v>
      </c>
      <c r="H80" s="16">
        <v>27</v>
      </c>
      <c r="I80" s="31">
        <v>45930</v>
      </c>
      <c r="J80" s="7" t="s">
        <v>68</v>
      </c>
      <c r="K80" s="2" t="s">
        <v>546</v>
      </c>
      <c r="L80" s="2">
        <v>100</v>
      </c>
      <c r="M80" s="4">
        <v>46231</v>
      </c>
      <c r="AF80" s="4">
        <v>45930</v>
      </c>
      <c r="AG80" s="4">
        <v>46030</v>
      </c>
      <c r="AH80" s="47" t="s">
        <v>528</v>
      </c>
      <c r="AI80" s="48">
        <f>AG80+210</f>
        <v>46240</v>
      </c>
      <c r="AJ80" s="48">
        <f>AG80+277</f>
        <v>46307</v>
      </c>
      <c r="AK80" s="49" t="s">
        <v>70</v>
      </c>
    </row>
    <row r="81" spans="1:40" x14ac:dyDescent="0.2">
      <c r="A81" s="13">
        <v>76</v>
      </c>
      <c r="B81" s="22" t="s">
        <v>153</v>
      </c>
      <c r="C81" s="16" t="s">
        <v>61</v>
      </c>
      <c r="D81" s="31">
        <v>44087</v>
      </c>
      <c r="E81" s="16">
        <v>2</v>
      </c>
      <c r="F81" s="16">
        <v>4223</v>
      </c>
      <c r="G81" s="16" t="s">
        <v>114</v>
      </c>
      <c r="H81" s="16">
        <v>568</v>
      </c>
      <c r="I81" s="31">
        <v>45825</v>
      </c>
      <c r="J81" s="7" t="s">
        <v>68</v>
      </c>
      <c r="K81" s="2" t="s">
        <v>546</v>
      </c>
      <c r="L81" s="2">
        <v>110</v>
      </c>
      <c r="M81" s="4">
        <v>46231</v>
      </c>
      <c r="AF81" s="4">
        <v>45825</v>
      </c>
      <c r="AG81" s="4">
        <v>46036</v>
      </c>
      <c r="AH81" s="47" t="s">
        <v>554</v>
      </c>
      <c r="AI81" s="48">
        <f>AG81+210</f>
        <v>46246</v>
      </c>
      <c r="AJ81" s="48">
        <f>AG81+277</f>
        <v>46313</v>
      </c>
      <c r="AK81" s="49" t="s">
        <v>68</v>
      </c>
    </row>
    <row r="82" spans="1:40" x14ac:dyDescent="0.2">
      <c r="A82" s="13">
        <v>77</v>
      </c>
      <c r="B82" s="22" t="s">
        <v>154</v>
      </c>
      <c r="C82" s="16" t="s">
        <v>73</v>
      </c>
      <c r="D82" s="31">
        <v>43983</v>
      </c>
      <c r="E82" s="16">
        <v>2</v>
      </c>
      <c r="F82" s="39">
        <v>3307</v>
      </c>
      <c r="G82" s="39"/>
      <c r="H82" s="16">
        <v>616</v>
      </c>
      <c r="I82" s="31">
        <v>45627</v>
      </c>
      <c r="J82" s="13" t="s">
        <v>70</v>
      </c>
      <c r="K82" s="2" t="s">
        <v>546</v>
      </c>
      <c r="L82" s="2">
        <v>110</v>
      </c>
      <c r="M82" s="4">
        <v>46231</v>
      </c>
      <c r="N82" s="4">
        <v>46140</v>
      </c>
      <c r="O82" s="4">
        <v>46231</v>
      </c>
      <c r="P82" s="4">
        <v>46258</v>
      </c>
      <c r="Q82" s="2" t="s">
        <v>49</v>
      </c>
      <c r="R82" s="2">
        <v>2</v>
      </c>
      <c r="S82" s="2" t="s">
        <v>570</v>
      </c>
      <c r="T82" s="2"/>
      <c r="AE82" s="2">
        <v>370</v>
      </c>
    </row>
    <row r="83" spans="1:40" x14ac:dyDescent="0.2">
      <c r="A83" s="13">
        <v>78</v>
      </c>
      <c r="B83" s="22" t="s">
        <v>155</v>
      </c>
      <c r="C83" s="16" t="s">
        <v>73</v>
      </c>
      <c r="D83" s="31">
        <v>44095</v>
      </c>
      <c r="E83" s="16">
        <v>2</v>
      </c>
      <c r="F83" s="16"/>
      <c r="G83" s="16" t="s">
        <v>156</v>
      </c>
      <c r="H83" s="16" t="s">
        <v>157</v>
      </c>
      <c r="I83" s="31">
        <v>46097</v>
      </c>
      <c r="J83" s="13" t="s">
        <v>62</v>
      </c>
      <c r="K83" s="2" t="s">
        <v>546</v>
      </c>
      <c r="L83" s="2">
        <v>110</v>
      </c>
      <c r="M83" s="4">
        <v>46231</v>
      </c>
      <c r="N83" s="52">
        <v>46097</v>
      </c>
      <c r="O83" s="52">
        <v>46234</v>
      </c>
      <c r="P83" s="52">
        <v>46265</v>
      </c>
      <c r="Q83" s="2" t="s">
        <v>528</v>
      </c>
      <c r="R83" s="2">
        <v>2</v>
      </c>
      <c r="S83" s="2" t="s">
        <v>570</v>
      </c>
      <c r="T83" s="51"/>
      <c r="AE83" s="2">
        <v>387</v>
      </c>
    </row>
    <row r="84" spans="1:40" x14ac:dyDescent="0.2">
      <c r="A84" s="13">
        <v>79</v>
      </c>
      <c r="B84" s="22" t="s">
        <v>158</v>
      </c>
      <c r="C84" s="16" t="s">
        <v>61</v>
      </c>
      <c r="D84" s="31">
        <v>44104</v>
      </c>
      <c r="E84" s="16">
        <v>3</v>
      </c>
      <c r="F84" s="16">
        <v>3237</v>
      </c>
      <c r="G84" s="16" t="s">
        <v>156</v>
      </c>
      <c r="H84" s="16">
        <v>210</v>
      </c>
      <c r="I84" s="31">
        <v>45986</v>
      </c>
      <c r="J84" s="13" t="s">
        <v>70</v>
      </c>
      <c r="K84" s="2" t="s">
        <v>546</v>
      </c>
      <c r="L84" s="2">
        <v>110</v>
      </c>
      <c r="M84" s="4">
        <v>46231</v>
      </c>
      <c r="AF84" s="4">
        <v>45986</v>
      </c>
      <c r="AG84" s="4">
        <v>46047</v>
      </c>
      <c r="AH84" s="47" t="s">
        <v>554</v>
      </c>
      <c r="AI84" s="48">
        <f>AG84+210</f>
        <v>46257</v>
      </c>
      <c r="AJ84" s="48">
        <f>AG84+277</f>
        <v>46324</v>
      </c>
      <c r="AK84" s="49" t="s">
        <v>70</v>
      </c>
    </row>
    <row r="85" spans="1:40" x14ac:dyDescent="0.2">
      <c r="A85" s="13">
        <v>80</v>
      </c>
      <c r="B85" s="22" t="s">
        <v>159</v>
      </c>
      <c r="C85" s="13" t="s">
        <v>61</v>
      </c>
      <c r="D85" s="23">
        <v>44116</v>
      </c>
      <c r="E85" s="13">
        <v>2</v>
      </c>
      <c r="F85" s="13">
        <v>4541</v>
      </c>
      <c r="G85" s="13" t="s">
        <v>160</v>
      </c>
      <c r="H85" s="13">
        <v>516</v>
      </c>
      <c r="I85" s="23">
        <v>45935</v>
      </c>
      <c r="J85" s="13" t="s">
        <v>68</v>
      </c>
      <c r="K85" s="2" t="s">
        <v>546</v>
      </c>
      <c r="L85" s="2">
        <v>110</v>
      </c>
      <c r="M85" s="4">
        <v>46231</v>
      </c>
      <c r="AF85" s="4">
        <v>45935</v>
      </c>
      <c r="AG85" s="4">
        <v>46024</v>
      </c>
      <c r="AH85" s="47" t="s">
        <v>553</v>
      </c>
      <c r="AI85" s="48">
        <f>AG85+210</f>
        <v>46234</v>
      </c>
      <c r="AJ85" s="48">
        <f>AG85+277</f>
        <v>46301</v>
      </c>
      <c r="AK85" s="49" t="s">
        <v>68</v>
      </c>
    </row>
    <row r="86" spans="1:40" x14ac:dyDescent="0.2">
      <c r="B86" s="58" t="s">
        <v>299</v>
      </c>
      <c r="C86" s="13" t="s">
        <v>61</v>
      </c>
      <c r="D86" s="54">
        <v>44125</v>
      </c>
      <c r="M86" s="4">
        <v>46231</v>
      </c>
      <c r="S86" s="2"/>
      <c r="T86" s="2"/>
    </row>
    <row r="87" spans="1:40" x14ac:dyDescent="0.2">
      <c r="A87" s="13">
        <v>81</v>
      </c>
      <c r="B87" s="22" t="s">
        <v>161</v>
      </c>
      <c r="C87" s="13" t="s">
        <v>61</v>
      </c>
      <c r="D87" s="23">
        <v>44139</v>
      </c>
      <c r="E87" s="13">
        <v>4</v>
      </c>
      <c r="F87" s="13">
        <v>3420</v>
      </c>
      <c r="G87" s="13" t="s">
        <v>156</v>
      </c>
      <c r="H87" s="13">
        <v>243</v>
      </c>
      <c r="I87" s="23">
        <v>46171</v>
      </c>
      <c r="J87" s="13" t="s">
        <v>62</v>
      </c>
      <c r="K87" s="2" t="s">
        <v>546</v>
      </c>
      <c r="L87" s="2">
        <v>110</v>
      </c>
      <c r="M87" s="4">
        <v>46231</v>
      </c>
      <c r="N87" s="4">
        <v>46171</v>
      </c>
      <c r="O87" s="4">
        <v>46240</v>
      </c>
      <c r="P87" s="4">
        <v>46262</v>
      </c>
      <c r="Q87" s="2" t="s">
        <v>576</v>
      </c>
      <c r="R87" s="2">
        <v>1</v>
      </c>
      <c r="S87" s="2" t="s">
        <v>570</v>
      </c>
      <c r="T87" s="2" t="s">
        <v>579</v>
      </c>
      <c r="AE87" s="2">
        <v>380</v>
      </c>
    </row>
    <row r="88" spans="1:40" x14ac:dyDescent="0.2">
      <c r="A88" s="13">
        <v>82</v>
      </c>
      <c r="B88" s="22" t="s">
        <v>162</v>
      </c>
      <c r="C88" s="13" t="s">
        <v>18</v>
      </c>
      <c r="D88" s="23">
        <v>46349</v>
      </c>
      <c r="E88" s="13">
        <v>2</v>
      </c>
      <c r="F88" s="13"/>
      <c r="G88" s="13" t="s">
        <v>160</v>
      </c>
      <c r="H88" s="13" t="s">
        <v>163</v>
      </c>
      <c r="I88" s="23">
        <v>46004</v>
      </c>
      <c r="J88" s="13" t="s">
        <v>62</v>
      </c>
      <c r="K88" s="2" t="s">
        <v>546</v>
      </c>
      <c r="L88" s="2">
        <v>110</v>
      </c>
      <c r="M88" s="4">
        <v>46231</v>
      </c>
      <c r="AL88" s="56"/>
      <c r="AM88" s="56"/>
      <c r="AN88" s="56"/>
    </row>
    <row r="89" spans="1:40" x14ac:dyDescent="0.2">
      <c r="A89" s="13">
        <v>83</v>
      </c>
      <c r="B89" s="22" t="s">
        <v>164</v>
      </c>
      <c r="C89" s="13" t="s">
        <v>61</v>
      </c>
      <c r="D89" s="23">
        <v>44164</v>
      </c>
      <c r="E89" s="13">
        <v>3</v>
      </c>
      <c r="F89" s="13">
        <v>4074</v>
      </c>
      <c r="G89" s="13" t="s">
        <v>104</v>
      </c>
      <c r="H89" s="13" t="s">
        <v>165</v>
      </c>
      <c r="I89" s="23">
        <v>45946</v>
      </c>
      <c r="J89" s="13" t="s">
        <v>70</v>
      </c>
      <c r="K89" s="2" t="s">
        <v>546</v>
      </c>
      <c r="L89" s="2">
        <v>110</v>
      </c>
      <c r="M89" s="4">
        <v>46231</v>
      </c>
      <c r="AF89" s="4">
        <v>45946</v>
      </c>
      <c r="AG89" s="4">
        <v>46062</v>
      </c>
      <c r="AH89" s="47" t="s">
        <v>556</v>
      </c>
      <c r="AI89" s="48">
        <f>AG89+210</f>
        <v>46272</v>
      </c>
      <c r="AJ89" s="48">
        <f>AG89+277</f>
        <v>46339</v>
      </c>
      <c r="AK89" s="49" t="s">
        <v>70</v>
      </c>
    </row>
    <row r="90" spans="1:40" x14ac:dyDescent="0.2">
      <c r="A90" s="13">
        <v>84</v>
      </c>
      <c r="B90" s="22" t="s">
        <v>166</v>
      </c>
      <c r="C90" s="13" t="s">
        <v>61</v>
      </c>
      <c r="D90" s="23">
        <v>44165</v>
      </c>
      <c r="E90" s="13">
        <v>2</v>
      </c>
      <c r="F90" s="13"/>
      <c r="G90" s="13" t="s">
        <v>160</v>
      </c>
      <c r="H90" s="13">
        <v>23</v>
      </c>
      <c r="I90" s="23">
        <v>45948</v>
      </c>
      <c r="J90" s="13" t="s">
        <v>62</v>
      </c>
      <c r="K90" s="2" t="s">
        <v>546</v>
      </c>
      <c r="L90" s="2">
        <v>115</v>
      </c>
      <c r="M90" s="4">
        <v>46231</v>
      </c>
    </row>
    <row r="91" spans="1:40" x14ac:dyDescent="0.2">
      <c r="A91" s="13">
        <v>85</v>
      </c>
      <c r="B91" s="22" t="s">
        <v>37</v>
      </c>
      <c r="C91" s="13" t="s">
        <v>61</v>
      </c>
      <c r="D91" s="23">
        <v>44170</v>
      </c>
      <c r="E91" s="13">
        <v>3</v>
      </c>
      <c r="F91" s="13">
        <v>3867</v>
      </c>
      <c r="G91" s="13" t="s">
        <v>160</v>
      </c>
      <c r="H91" s="13">
        <v>269</v>
      </c>
      <c r="I91" s="23">
        <v>46250</v>
      </c>
      <c r="J91" s="13" t="s">
        <v>62</v>
      </c>
      <c r="K91" s="2" t="s">
        <v>546</v>
      </c>
      <c r="L91" s="2">
        <v>110</v>
      </c>
      <c r="M91" s="4">
        <v>46231</v>
      </c>
      <c r="U91" s="2" t="s">
        <v>25</v>
      </c>
      <c r="V91" s="4">
        <v>45869</v>
      </c>
      <c r="W91" s="4">
        <v>45990</v>
      </c>
      <c r="X91" s="5">
        <v>46250</v>
      </c>
      <c r="Y91" s="6">
        <v>0.22916666666666666</v>
      </c>
      <c r="Z91" s="2" t="s">
        <v>14</v>
      </c>
      <c r="AA91" s="2" t="s">
        <v>15</v>
      </c>
      <c r="AB91" s="6">
        <v>0.83333333333333337</v>
      </c>
      <c r="AC91" s="2" t="s">
        <v>21</v>
      </c>
      <c r="AD91" s="2">
        <f>X91-W91</f>
        <v>260</v>
      </c>
      <c r="AE91" s="2">
        <f>X91-V91</f>
        <v>381</v>
      </c>
      <c r="AM91">
        <v>28</v>
      </c>
    </row>
    <row r="92" spans="1:40" x14ac:dyDescent="0.2">
      <c r="A92" s="13">
        <v>86</v>
      </c>
      <c r="B92" s="22" t="s">
        <v>167</v>
      </c>
      <c r="C92" s="13" t="s">
        <v>61</v>
      </c>
      <c r="D92" s="23">
        <v>44195</v>
      </c>
      <c r="E92" s="13">
        <v>1</v>
      </c>
      <c r="F92" s="13"/>
      <c r="G92" s="13" t="s">
        <v>127</v>
      </c>
      <c r="H92" s="13" t="s">
        <v>168</v>
      </c>
      <c r="I92" s="23">
        <v>45636</v>
      </c>
      <c r="J92" s="13" t="s">
        <v>68</v>
      </c>
      <c r="K92" s="2" t="s">
        <v>546</v>
      </c>
      <c r="L92" s="2">
        <v>100</v>
      </c>
      <c r="M92" s="4">
        <v>46231</v>
      </c>
      <c r="AF92" s="4">
        <v>45636</v>
      </c>
      <c r="AG92" s="4">
        <v>46020</v>
      </c>
      <c r="AH92" s="47" t="s">
        <v>528</v>
      </c>
      <c r="AI92" s="48">
        <f>AG92+210</f>
        <v>46230</v>
      </c>
      <c r="AJ92" s="48">
        <f>AG92+277</f>
        <v>46297</v>
      </c>
      <c r="AK92" s="49" t="s">
        <v>68</v>
      </c>
    </row>
    <row r="93" spans="1:40" x14ac:dyDescent="0.2">
      <c r="A93" s="13">
        <v>87</v>
      </c>
      <c r="B93" s="22" t="s">
        <v>169</v>
      </c>
      <c r="C93" s="13" t="s">
        <v>73</v>
      </c>
      <c r="D93" s="23">
        <v>44206</v>
      </c>
      <c r="E93" s="13">
        <v>3</v>
      </c>
      <c r="F93" s="13">
        <v>3000</v>
      </c>
      <c r="G93" s="13" t="s">
        <v>160</v>
      </c>
      <c r="H93" s="13">
        <v>504</v>
      </c>
      <c r="I93" s="23">
        <v>46002</v>
      </c>
      <c r="J93" s="13" t="s">
        <v>70</v>
      </c>
      <c r="K93" s="2" t="s">
        <v>546</v>
      </c>
      <c r="L93" s="2">
        <v>110</v>
      </c>
      <c r="M93" s="4">
        <v>46231</v>
      </c>
      <c r="AF93" s="4">
        <v>46002</v>
      </c>
      <c r="AG93" s="4">
        <v>46110</v>
      </c>
      <c r="AH93" s="4" t="s">
        <v>528</v>
      </c>
      <c r="AI93" s="48">
        <f>AG93+210</f>
        <v>46320</v>
      </c>
      <c r="AJ93" s="48">
        <f>AG93+277</f>
        <v>46387</v>
      </c>
      <c r="AK93" s="49" t="s">
        <v>70</v>
      </c>
    </row>
    <row r="94" spans="1:40" x14ac:dyDescent="0.2">
      <c r="A94" s="13">
        <v>88</v>
      </c>
      <c r="B94" s="22" t="s">
        <v>44</v>
      </c>
      <c r="C94" s="13" t="s">
        <v>61</v>
      </c>
      <c r="D94" s="23">
        <v>44212</v>
      </c>
      <c r="E94" s="13">
        <v>3</v>
      </c>
      <c r="F94" s="13">
        <v>2198</v>
      </c>
      <c r="G94" s="13" t="s">
        <v>114</v>
      </c>
      <c r="H94" s="13">
        <v>232</v>
      </c>
      <c r="I94" s="23">
        <v>46262</v>
      </c>
      <c r="J94" s="13" t="s">
        <v>62</v>
      </c>
      <c r="K94" s="2" t="s">
        <v>546</v>
      </c>
      <c r="L94" s="2"/>
      <c r="M94" s="4">
        <v>46231</v>
      </c>
      <c r="U94" s="2" t="s">
        <v>25</v>
      </c>
      <c r="V94" s="4">
        <v>45678</v>
      </c>
      <c r="W94" s="4">
        <v>45986</v>
      </c>
      <c r="X94" s="5">
        <v>46262</v>
      </c>
      <c r="Y94" s="6">
        <v>0.70833333333333337</v>
      </c>
      <c r="Z94" s="2" t="s">
        <v>14</v>
      </c>
      <c r="AA94" s="2" t="s">
        <v>15</v>
      </c>
      <c r="AB94" s="6">
        <v>0.33333333333333331</v>
      </c>
      <c r="AC94" s="2" t="s">
        <v>45</v>
      </c>
      <c r="AD94" s="2">
        <f>X94-W94</f>
        <v>276</v>
      </c>
      <c r="AE94" s="2">
        <f>X94-V94</f>
        <v>584</v>
      </c>
      <c r="AM94">
        <v>28</v>
      </c>
    </row>
    <row r="95" spans="1:40" x14ac:dyDescent="0.2">
      <c r="A95" s="13">
        <v>89</v>
      </c>
      <c r="B95" s="22" t="s">
        <v>170</v>
      </c>
      <c r="C95" s="13" t="s">
        <v>18</v>
      </c>
      <c r="D95" s="23">
        <v>44224</v>
      </c>
      <c r="E95" s="13">
        <v>3</v>
      </c>
      <c r="F95" s="13"/>
      <c r="G95" s="13" t="s">
        <v>171</v>
      </c>
      <c r="H95" s="13">
        <v>586</v>
      </c>
      <c r="I95" s="23">
        <v>46220</v>
      </c>
      <c r="J95" s="13" t="s">
        <v>62</v>
      </c>
      <c r="K95" s="2" t="s">
        <v>546</v>
      </c>
      <c r="L95" s="2"/>
      <c r="M95" s="4">
        <v>46231</v>
      </c>
    </row>
    <row r="96" spans="1:40" x14ac:dyDescent="0.2">
      <c r="A96" s="13">
        <v>90</v>
      </c>
      <c r="B96" s="22" t="s">
        <v>172</v>
      </c>
      <c r="C96" s="13" t="s">
        <v>61</v>
      </c>
      <c r="D96" s="23">
        <v>44229</v>
      </c>
      <c r="E96" s="13">
        <v>2</v>
      </c>
      <c r="F96" s="13">
        <v>4435</v>
      </c>
      <c r="G96" s="13" t="s">
        <v>89</v>
      </c>
      <c r="H96" s="13">
        <v>567</v>
      </c>
      <c r="I96" s="23">
        <v>45773</v>
      </c>
      <c r="J96" s="13" t="s">
        <v>62</v>
      </c>
      <c r="K96" s="2" t="s">
        <v>546</v>
      </c>
      <c r="L96" s="2"/>
      <c r="M96" s="4">
        <v>46231</v>
      </c>
      <c r="AF96" s="4">
        <v>45773</v>
      </c>
      <c r="AG96" s="4">
        <v>46173</v>
      </c>
      <c r="AH96" s="2" t="s">
        <v>560</v>
      </c>
      <c r="AI96" s="48">
        <f>AG96+210</f>
        <v>46383</v>
      </c>
      <c r="AJ96" s="48">
        <f>AG96+277</f>
        <v>46450</v>
      </c>
      <c r="AK96" s="50" t="s">
        <v>70</v>
      </c>
    </row>
    <row r="97" spans="1:39" x14ac:dyDescent="0.2">
      <c r="A97" s="13">
        <v>91</v>
      </c>
      <c r="B97" s="22" t="s">
        <v>173</v>
      </c>
      <c r="C97" s="13" t="s">
        <v>61</v>
      </c>
      <c r="D97" s="23">
        <v>44231</v>
      </c>
      <c r="E97" s="13">
        <v>3</v>
      </c>
      <c r="F97" s="13"/>
      <c r="G97" s="13" t="s">
        <v>89</v>
      </c>
      <c r="H97" s="13">
        <v>273</v>
      </c>
      <c r="I97" s="23">
        <v>46192</v>
      </c>
      <c r="J97" s="13" t="s">
        <v>62</v>
      </c>
      <c r="K97" s="2" t="s">
        <v>546</v>
      </c>
      <c r="L97" s="2">
        <v>110</v>
      </c>
      <c r="M97" s="4">
        <v>46231</v>
      </c>
      <c r="N97" s="4">
        <v>46192</v>
      </c>
      <c r="O97" s="2"/>
      <c r="P97" s="4">
        <v>46260</v>
      </c>
      <c r="Q97" s="2" t="s">
        <v>528</v>
      </c>
      <c r="R97" s="2">
        <v>1</v>
      </c>
      <c r="S97" s="2" t="s">
        <v>570</v>
      </c>
      <c r="T97" s="2"/>
      <c r="AE97" s="2">
        <v>372</v>
      </c>
    </row>
    <row r="98" spans="1:39" x14ac:dyDescent="0.2">
      <c r="A98" s="13">
        <v>92</v>
      </c>
      <c r="B98" s="22" t="s">
        <v>174</v>
      </c>
      <c r="C98" s="13" t="s">
        <v>61</v>
      </c>
      <c r="D98" s="23">
        <v>44248</v>
      </c>
      <c r="E98" s="13">
        <v>3</v>
      </c>
      <c r="F98" s="13">
        <v>2701</v>
      </c>
      <c r="G98" s="13"/>
      <c r="H98" s="13">
        <v>719</v>
      </c>
      <c r="I98" s="23">
        <v>46138</v>
      </c>
      <c r="J98" s="13" t="s">
        <v>62</v>
      </c>
      <c r="K98" s="2" t="s">
        <v>546</v>
      </c>
      <c r="L98" s="2">
        <v>90</v>
      </c>
      <c r="M98" s="4">
        <v>46231</v>
      </c>
    </row>
    <row r="99" spans="1:39" x14ac:dyDescent="0.2">
      <c r="A99" s="13">
        <v>93</v>
      </c>
      <c r="B99" s="22" t="s">
        <v>175</v>
      </c>
      <c r="C99" s="13" t="s">
        <v>61</v>
      </c>
      <c r="D99" s="23">
        <v>44266</v>
      </c>
      <c r="E99" s="13">
        <v>2</v>
      </c>
      <c r="F99" s="13"/>
      <c r="G99" s="13"/>
      <c r="H99" s="13">
        <v>705</v>
      </c>
      <c r="I99" s="23">
        <v>45869</v>
      </c>
      <c r="J99" s="13" t="s">
        <v>64</v>
      </c>
      <c r="K99" s="2" t="s">
        <v>546</v>
      </c>
      <c r="L99" s="2">
        <v>110</v>
      </c>
      <c r="M99" s="4">
        <v>46231</v>
      </c>
      <c r="N99" s="4">
        <v>45869</v>
      </c>
      <c r="O99" s="4">
        <v>45963</v>
      </c>
      <c r="P99" s="4">
        <v>46255</v>
      </c>
      <c r="Q99" s="4" t="s">
        <v>571</v>
      </c>
      <c r="R99" s="2">
        <v>3</v>
      </c>
      <c r="S99" s="2" t="s">
        <v>570</v>
      </c>
      <c r="T99" s="2"/>
      <c r="AE99" s="2">
        <v>363</v>
      </c>
    </row>
    <row r="100" spans="1:39" x14ac:dyDescent="0.2">
      <c r="A100" s="13">
        <v>94</v>
      </c>
      <c r="B100" s="22" t="s">
        <v>176</v>
      </c>
      <c r="C100" s="13" t="s">
        <v>61</v>
      </c>
      <c r="D100" s="23">
        <v>44274</v>
      </c>
      <c r="E100" s="13">
        <v>3</v>
      </c>
      <c r="F100" s="13">
        <v>3122</v>
      </c>
      <c r="G100" s="13" t="s">
        <v>177</v>
      </c>
      <c r="H100" s="13">
        <v>256</v>
      </c>
      <c r="I100" s="23">
        <v>45959</v>
      </c>
      <c r="J100" s="13" t="s">
        <v>62</v>
      </c>
      <c r="K100" s="2" t="s">
        <v>546</v>
      </c>
      <c r="L100" s="2">
        <v>110</v>
      </c>
      <c r="M100" s="4">
        <v>46231</v>
      </c>
    </row>
    <row r="101" spans="1:39" x14ac:dyDescent="0.2">
      <c r="A101" s="13">
        <v>95</v>
      </c>
      <c r="B101" s="22" t="s">
        <v>178</v>
      </c>
      <c r="C101" s="13" t="s">
        <v>61</v>
      </c>
      <c r="D101" s="23">
        <v>44302</v>
      </c>
      <c r="E101" s="13">
        <v>3</v>
      </c>
      <c r="F101" s="13">
        <v>3200</v>
      </c>
      <c r="G101" s="13"/>
      <c r="H101" s="13">
        <v>720</v>
      </c>
      <c r="I101" s="23">
        <v>46229</v>
      </c>
      <c r="J101" s="13" t="s">
        <v>62</v>
      </c>
      <c r="K101" s="2" t="s">
        <v>546</v>
      </c>
      <c r="L101" s="2">
        <v>100</v>
      </c>
      <c r="M101" s="4">
        <v>46231</v>
      </c>
    </row>
    <row r="102" spans="1:39" x14ac:dyDescent="0.2">
      <c r="A102" s="13">
        <v>96</v>
      </c>
      <c r="B102" s="22" t="s">
        <v>179</v>
      </c>
      <c r="C102" s="13" t="s">
        <v>61</v>
      </c>
      <c r="D102" s="23">
        <v>44303</v>
      </c>
      <c r="E102" s="13">
        <v>1</v>
      </c>
      <c r="F102" s="13"/>
      <c r="G102" s="13"/>
      <c r="H102" s="13">
        <v>716</v>
      </c>
      <c r="I102" s="23">
        <v>45758</v>
      </c>
      <c r="J102" s="13" t="s">
        <v>68</v>
      </c>
      <c r="K102" s="2" t="s">
        <v>546</v>
      </c>
      <c r="L102" s="2">
        <v>110</v>
      </c>
      <c r="M102" s="4">
        <v>46231</v>
      </c>
      <c r="AF102" s="4">
        <v>45758</v>
      </c>
      <c r="AG102" s="4">
        <v>46004</v>
      </c>
      <c r="AH102" s="47" t="s">
        <v>25</v>
      </c>
      <c r="AI102" s="48">
        <f>AG102+210</f>
        <v>46214</v>
      </c>
      <c r="AJ102" s="48">
        <f>AG102+277</f>
        <v>46281</v>
      </c>
      <c r="AK102" s="49" t="s">
        <v>68</v>
      </c>
    </row>
    <row r="103" spans="1:39" x14ac:dyDescent="0.2">
      <c r="A103" s="13">
        <v>97</v>
      </c>
      <c r="B103" s="22" t="s">
        <v>180</v>
      </c>
      <c r="C103" s="13" t="s">
        <v>61</v>
      </c>
      <c r="D103" s="23">
        <v>44330</v>
      </c>
      <c r="E103" s="13">
        <v>3</v>
      </c>
      <c r="F103" s="13">
        <v>4917</v>
      </c>
      <c r="G103" s="13" t="s">
        <v>181</v>
      </c>
      <c r="H103" s="13" t="s">
        <v>81</v>
      </c>
      <c r="I103" s="23">
        <v>46039</v>
      </c>
      <c r="J103" s="13" t="s">
        <v>70</v>
      </c>
      <c r="K103" s="2" t="s">
        <v>546</v>
      </c>
      <c r="L103" s="2">
        <v>110</v>
      </c>
      <c r="M103" s="4">
        <v>46231</v>
      </c>
      <c r="AF103" s="4">
        <v>46039</v>
      </c>
      <c r="AG103" s="4">
        <v>46106</v>
      </c>
      <c r="AH103" s="4" t="s">
        <v>556</v>
      </c>
      <c r="AI103" s="48">
        <f>AG103+210</f>
        <v>46316</v>
      </c>
      <c r="AJ103" s="48">
        <f>AG103+277</f>
        <v>46383</v>
      </c>
      <c r="AK103" s="49" t="s">
        <v>70</v>
      </c>
    </row>
    <row r="104" spans="1:39" x14ac:dyDescent="0.2">
      <c r="A104" s="13">
        <v>98</v>
      </c>
      <c r="B104" s="22" t="s">
        <v>182</v>
      </c>
      <c r="C104" s="13" t="s">
        <v>61</v>
      </c>
      <c r="D104" s="23">
        <v>44337</v>
      </c>
      <c r="E104" s="13">
        <v>2</v>
      </c>
      <c r="F104" s="13">
        <v>3621</v>
      </c>
      <c r="G104" s="13"/>
      <c r="H104" s="13">
        <v>710</v>
      </c>
      <c r="I104" s="23">
        <v>45926</v>
      </c>
      <c r="J104" s="13" t="s">
        <v>70</v>
      </c>
      <c r="K104" s="2" t="s">
        <v>546</v>
      </c>
      <c r="L104" s="2" t="s">
        <v>547</v>
      </c>
      <c r="M104" s="4">
        <v>46231</v>
      </c>
      <c r="AF104" s="4">
        <v>45926</v>
      </c>
      <c r="AG104" s="4">
        <v>46039</v>
      </c>
      <c r="AH104" s="47" t="s">
        <v>554</v>
      </c>
      <c r="AI104" s="48">
        <f>AG104+210</f>
        <v>46249</v>
      </c>
      <c r="AJ104" s="48">
        <f>AG104+277</f>
        <v>46316</v>
      </c>
      <c r="AK104" s="49" t="s">
        <v>70</v>
      </c>
    </row>
    <row r="105" spans="1:39" x14ac:dyDescent="0.2">
      <c r="A105" s="13">
        <v>99</v>
      </c>
      <c r="B105" s="22" t="s">
        <v>183</v>
      </c>
      <c r="C105" s="13" t="s">
        <v>61</v>
      </c>
      <c r="D105" s="23">
        <v>44357</v>
      </c>
      <c r="E105" s="13">
        <v>2</v>
      </c>
      <c r="F105" s="13">
        <v>4818</v>
      </c>
      <c r="G105" s="13" t="s">
        <v>100</v>
      </c>
      <c r="H105" s="13" t="s">
        <v>184</v>
      </c>
      <c r="I105" s="23">
        <v>45935</v>
      </c>
      <c r="J105" s="13" t="s">
        <v>68</v>
      </c>
      <c r="K105" s="2" t="s">
        <v>546</v>
      </c>
      <c r="L105" s="2">
        <v>110</v>
      </c>
      <c r="M105" s="4">
        <v>46231</v>
      </c>
      <c r="AF105" s="4">
        <v>45935</v>
      </c>
      <c r="AG105" s="4">
        <v>46202</v>
      </c>
      <c r="AH105" s="4" t="s">
        <v>560</v>
      </c>
      <c r="AI105" s="48">
        <f>AG105+210</f>
        <v>46412</v>
      </c>
      <c r="AJ105" s="48">
        <f>AG105+277</f>
        <v>46479</v>
      </c>
      <c r="AK105" s="50" t="s">
        <v>68</v>
      </c>
    </row>
    <row r="106" spans="1:39" x14ac:dyDescent="0.2">
      <c r="A106" s="13">
        <v>100</v>
      </c>
      <c r="B106" s="22" t="s">
        <v>185</v>
      </c>
      <c r="C106" s="13" t="s">
        <v>61</v>
      </c>
      <c r="D106" s="23">
        <v>44370</v>
      </c>
      <c r="E106" s="13">
        <v>3</v>
      </c>
      <c r="F106" s="13">
        <v>3494</v>
      </c>
      <c r="G106" s="13" t="s">
        <v>186</v>
      </c>
      <c r="H106" s="13">
        <v>525</v>
      </c>
      <c r="I106" s="23">
        <v>45625</v>
      </c>
      <c r="J106" s="13" t="s">
        <v>70</v>
      </c>
      <c r="K106" s="2" t="s">
        <v>546</v>
      </c>
      <c r="L106" s="2">
        <v>110</v>
      </c>
      <c r="M106" s="4">
        <v>46231</v>
      </c>
      <c r="AF106" s="4">
        <v>45975</v>
      </c>
      <c r="AG106" s="4">
        <v>46070</v>
      </c>
      <c r="AH106" s="47" t="s">
        <v>556</v>
      </c>
      <c r="AI106" s="48">
        <f>AG106+210</f>
        <v>46280</v>
      </c>
      <c r="AJ106" s="48">
        <f>AG106+277</f>
        <v>46347</v>
      </c>
      <c r="AK106" s="49" t="s">
        <v>70</v>
      </c>
    </row>
    <row r="107" spans="1:39" x14ac:dyDescent="0.2">
      <c r="A107" s="13">
        <v>101</v>
      </c>
      <c r="B107" s="22" t="s">
        <v>38</v>
      </c>
      <c r="C107" s="13" t="s">
        <v>61</v>
      </c>
      <c r="D107" s="23">
        <v>44376</v>
      </c>
      <c r="E107" s="13">
        <v>3</v>
      </c>
      <c r="F107" s="13">
        <v>5205</v>
      </c>
      <c r="G107" s="13" t="s">
        <v>186</v>
      </c>
      <c r="H107" s="13" t="s">
        <v>35</v>
      </c>
      <c r="I107" s="23">
        <v>46251</v>
      </c>
      <c r="J107" s="13" t="s">
        <v>62</v>
      </c>
      <c r="K107" s="2" t="s">
        <v>546</v>
      </c>
      <c r="L107" s="2"/>
      <c r="M107" s="4">
        <v>46231</v>
      </c>
      <c r="U107" s="2" t="s">
        <v>12</v>
      </c>
      <c r="V107" s="4">
        <v>45881</v>
      </c>
      <c r="W107" s="4">
        <v>45962</v>
      </c>
      <c r="X107" s="5">
        <v>46251</v>
      </c>
      <c r="Y107" s="6">
        <v>0.35416666666666669</v>
      </c>
      <c r="Z107" s="2" t="s">
        <v>14</v>
      </c>
      <c r="AA107" s="2" t="s">
        <v>15</v>
      </c>
      <c r="AB107" s="6">
        <v>0.375</v>
      </c>
      <c r="AC107" s="2" t="s">
        <v>21</v>
      </c>
      <c r="AD107" s="2">
        <f>X107-W107</f>
        <v>289</v>
      </c>
      <c r="AE107" s="2">
        <f>X107-V107</f>
        <v>370</v>
      </c>
      <c r="AM107">
        <v>28</v>
      </c>
    </row>
    <row r="108" spans="1:39" x14ac:dyDescent="0.2">
      <c r="A108" s="13">
        <v>102</v>
      </c>
      <c r="B108" s="22" t="s">
        <v>187</v>
      </c>
      <c r="C108" s="13" t="s">
        <v>63</v>
      </c>
      <c r="D108" s="23">
        <v>44389</v>
      </c>
      <c r="E108" s="13">
        <v>3</v>
      </c>
      <c r="F108" s="13"/>
      <c r="G108" s="13" t="s">
        <v>188</v>
      </c>
      <c r="H108" s="13">
        <v>571</v>
      </c>
      <c r="I108" s="23">
        <v>46087</v>
      </c>
      <c r="J108" s="13" t="s">
        <v>70</v>
      </c>
      <c r="K108" s="2" t="s">
        <v>546</v>
      </c>
      <c r="L108" s="2">
        <v>100</v>
      </c>
      <c r="M108" s="4">
        <v>46231</v>
      </c>
      <c r="AF108" s="52">
        <v>46087</v>
      </c>
      <c r="AG108" s="52">
        <v>46181</v>
      </c>
      <c r="AH108" s="4" t="s">
        <v>270</v>
      </c>
      <c r="AI108" s="48">
        <f>AG108+210</f>
        <v>46391</v>
      </c>
      <c r="AJ108" s="48">
        <f>AG108+277</f>
        <v>46458</v>
      </c>
      <c r="AK108" s="50" t="s">
        <v>70</v>
      </c>
    </row>
    <row r="109" spans="1:39" x14ac:dyDescent="0.2">
      <c r="A109" s="13">
        <v>103</v>
      </c>
      <c r="B109" s="22" t="s">
        <v>189</v>
      </c>
      <c r="C109" s="13" t="s">
        <v>61</v>
      </c>
      <c r="D109" s="23">
        <v>44395</v>
      </c>
      <c r="E109" s="13">
        <v>2</v>
      </c>
      <c r="F109" s="13">
        <v>3565</v>
      </c>
      <c r="G109" s="13" t="s">
        <v>140</v>
      </c>
      <c r="H109" s="13" t="s">
        <v>190</v>
      </c>
      <c r="I109" s="23">
        <v>45992</v>
      </c>
      <c r="J109" s="13" t="s">
        <v>70</v>
      </c>
      <c r="K109" s="2" t="s">
        <v>546</v>
      </c>
      <c r="L109" s="2">
        <v>100</v>
      </c>
      <c r="M109" s="4">
        <v>46231</v>
      </c>
      <c r="AF109" s="4">
        <v>45992</v>
      </c>
      <c r="AG109" s="4">
        <v>46067</v>
      </c>
      <c r="AH109" s="47" t="s">
        <v>556</v>
      </c>
      <c r="AI109" s="48">
        <f>AG109+210</f>
        <v>46277</v>
      </c>
      <c r="AJ109" s="48">
        <f>AG109+277</f>
        <v>46344</v>
      </c>
      <c r="AK109" s="49" t="s">
        <v>70</v>
      </c>
    </row>
    <row r="110" spans="1:39" x14ac:dyDescent="0.2">
      <c r="A110" s="13">
        <v>104</v>
      </c>
      <c r="B110" s="22" t="s">
        <v>191</v>
      </c>
      <c r="C110" s="13" t="s">
        <v>73</v>
      </c>
      <c r="D110" s="23">
        <v>44410</v>
      </c>
      <c r="E110" s="13">
        <v>2</v>
      </c>
      <c r="F110" s="13"/>
      <c r="G110" s="13" t="s">
        <v>140</v>
      </c>
      <c r="H110" s="13">
        <v>519</v>
      </c>
      <c r="I110" s="23">
        <v>45990</v>
      </c>
      <c r="J110" s="13" t="s">
        <v>70</v>
      </c>
      <c r="K110" s="2" t="s">
        <v>546</v>
      </c>
      <c r="L110" s="2">
        <v>110</v>
      </c>
      <c r="M110" s="4">
        <v>46231</v>
      </c>
      <c r="AF110" s="4">
        <v>46355</v>
      </c>
      <c r="AG110" s="4">
        <v>46102</v>
      </c>
      <c r="AH110" s="4" t="s">
        <v>556</v>
      </c>
      <c r="AI110" s="48">
        <f>AG110+210</f>
        <v>46312</v>
      </c>
      <c r="AJ110" s="48">
        <f>AG110+277</f>
        <v>46379</v>
      </c>
      <c r="AK110" s="49" t="s">
        <v>70</v>
      </c>
    </row>
    <row r="111" spans="1:39" x14ac:dyDescent="0.2">
      <c r="A111" s="13">
        <v>105</v>
      </c>
      <c r="B111" s="22" t="s">
        <v>192</v>
      </c>
      <c r="C111" s="13" t="s">
        <v>61</v>
      </c>
      <c r="D111" s="23">
        <v>44411</v>
      </c>
      <c r="E111" s="13">
        <v>2</v>
      </c>
      <c r="F111" s="13"/>
      <c r="G111" s="13" t="s">
        <v>96</v>
      </c>
      <c r="H111" s="13" t="s">
        <v>193</v>
      </c>
      <c r="I111" s="23">
        <v>45991</v>
      </c>
      <c r="J111" s="13" t="s">
        <v>70</v>
      </c>
      <c r="K111" s="2" t="s">
        <v>546</v>
      </c>
      <c r="L111" s="2">
        <v>110</v>
      </c>
      <c r="M111" s="4">
        <v>46231</v>
      </c>
      <c r="AF111" s="4">
        <v>45991</v>
      </c>
      <c r="AG111" s="4">
        <v>46059</v>
      </c>
      <c r="AH111" s="47" t="s">
        <v>554</v>
      </c>
      <c r="AI111" s="48">
        <f>AG111+210</f>
        <v>46269</v>
      </c>
      <c r="AJ111" s="48">
        <f>AG111+277</f>
        <v>46336</v>
      </c>
      <c r="AK111" s="49" t="s">
        <v>70</v>
      </c>
    </row>
    <row r="112" spans="1:39" x14ac:dyDescent="0.2">
      <c r="A112" s="13">
        <v>106</v>
      </c>
      <c r="B112" s="22" t="s">
        <v>194</v>
      </c>
      <c r="C112" s="13" t="s">
        <v>61</v>
      </c>
      <c r="D112" s="23">
        <v>44416</v>
      </c>
      <c r="E112" s="13">
        <v>2</v>
      </c>
      <c r="F112" s="13"/>
      <c r="G112" s="13" t="s">
        <v>96</v>
      </c>
      <c r="H112" s="13" t="s">
        <v>78</v>
      </c>
      <c r="I112" s="23">
        <v>46167</v>
      </c>
      <c r="J112" s="13" t="s">
        <v>62</v>
      </c>
      <c r="K112" s="2" t="s">
        <v>546</v>
      </c>
      <c r="L112" s="2">
        <v>110</v>
      </c>
      <c r="M112" s="4">
        <v>46231</v>
      </c>
      <c r="N112" s="4">
        <v>46167</v>
      </c>
      <c r="O112" s="2"/>
      <c r="P112" s="4">
        <v>46262</v>
      </c>
      <c r="Q112" s="2" t="s">
        <v>577</v>
      </c>
      <c r="R112" s="2">
        <v>1</v>
      </c>
      <c r="S112" s="2" t="s">
        <v>570</v>
      </c>
      <c r="T112" s="2"/>
      <c r="AE112" s="2">
        <v>382</v>
      </c>
    </row>
    <row r="113" spans="1:39" x14ac:dyDescent="0.2">
      <c r="A113" s="13">
        <v>107</v>
      </c>
      <c r="B113" s="22" t="s">
        <v>195</v>
      </c>
      <c r="C113" s="13" t="s">
        <v>61</v>
      </c>
      <c r="D113" s="23">
        <v>44427</v>
      </c>
      <c r="E113" s="13">
        <v>2</v>
      </c>
      <c r="F113" s="13"/>
      <c r="G113" s="13" t="s">
        <v>100</v>
      </c>
      <c r="H113" s="13" t="s">
        <v>71</v>
      </c>
      <c r="I113" s="23">
        <v>45971</v>
      </c>
      <c r="J113" s="13" t="s">
        <v>70</v>
      </c>
      <c r="K113" s="2" t="s">
        <v>546</v>
      </c>
      <c r="L113" s="2">
        <v>110</v>
      </c>
      <c r="M113" s="4">
        <v>46231</v>
      </c>
      <c r="N113" s="4"/>
      <c r="O113" s="2"/>
      <c r="P113" s="4"/>
      <c r="Q113" s="2"/>
      <c r="R113" s="2"/>
      <c r="S113" s="2"/>
      <c r="T113" s="2"/>
      <c r="AF113" s="4">
        <v>45971</v>
      </c>
      <c r="AG113" s="4">
        <v>46086</v>
      </c>
      <c r="AH113" s="47" t="s">
        <v>556</v>
      </c>
      <c r="AI113" s="48">
        <f>AG113+210</f>
        <v>46296</v>
      </c>
      <c r="AJ113" s="48">
        <f>AG113+277</f>
        <v>46363</v>
      </c>
      <c r="AK113" s="49" t="s">
        <v>70</v>
      </c>
    </row>
    <row r="114" spans="1:39" x14ac:dyDescent="0.2">
      <c r="A114" s="13">
        <v>108</v>
      </c>
      <c r="B114" s="22" t="s">
        <v>196</v>
      </c>
      <c r="C114" s="13" t="s">
        <v>61</v>
      </c>
      <c r="D114" s="23">
        <v>44436</v>
      </c>
      <c r="E114" s="13">
        <v>2</v>
      </c>
      <c r="F114" s="13"/>
      <c r="G114" s="13" t="s">
        <v>100</v>
      </c>
      <c r="H114" s="13">
        <v>248</v>
      </c>
      <c r="I114" s="23">
        <v>45959</v>
      </c>
      <c r="J114" s="13" t="s">
        <v>68</v>
      </c>
      <c r="K114" s="2" t="s">
        <v>546</v>
      </c>
      <c r="L114" s="2">
        <v>120</v>
      </c>
      <c r="M114" s="4">
        <v>46231</v>
      </c>
      <c r="AF114" s="4">
        <v>45959</v>
      </c>
      <c r="AG114" s="4">
        <v>46029</v>
      </c>
      <c r="AH114" s="47" t="s">
        <v>528</v>
      </c>
      <c r="AI114" s="48">
        <f>AG114+210</f>
        <v>46239</v>
      </c>
      <c r="AJ114" s="48">
        <f>AG114+277</f>
        <v>46306</v>
      </c>
      <c r="AK114" s="49" t="s">
        <v>68</v>
      </c>
    </row>
    <row r="115" spans="1:39" x14ac:dyDescent="0.2">
      <c r="A115" s="13">
        <v>109</v>
      </c>
      <c r="B115" s="22" t="s">
        <v>197</v>
      </c>
      <c r="C115" s="13" t="s">
        <v>61</v>
      </c>
      <c r="D115" s="23">
        <v>44446</v>
      </c>
      <c r="E115" s="13">
        <v>2</v>
      </c>
      <c r="F115" s="13"/>
      <c r="G115" s="13" t="s">
        <v>160</v>
      </c>
      <c r="H115" s="13" t="s">
        <v>93</v>
      </c>
      <c r="I115" s="23">
        <v>45910</v>
      </c>
      <c r="J115" s="13" t="s">
        <v>68</v>
      </c>
      <c r="K115" s="2" t="s">
        <v>546</v>
      </c>
      <c r="L115" s="2">
        <v>110</v>
      </c>
      <c r="M115" s="4">
        <v>46231</v>
      </c>
      <c r="AF115" s="4">
        <v>45910</v>
      </c>
      <c r="AG115" s="4">
        <v>46025</v>
      </c>
      <c r="AH115" s="47" t="s">
        <v>553</v>
      </c>
      <c r="AI115" s="48">
        <f>AG115+210</f>
        <v>46235</v>
      </c>
      <c r="AJ115" s="48">
        <f>AG115+277</f>
        <v>46302</v>
      </c>
      <c r="AK115" s="49" t="s">
        <v>68</v>
      </c>
    </row>
    <row r="116" spans="1:39" x14ac:dyDescent="0.2">
      <c r="A116" s="13">
        <v>110</v>
      </c>
      <c r="B116" s="22" t="s">
        <v>19</v>
      </c>
      <c r="C116" s="13" t="s">
        <v>61</v>
      </c>
      <c r="D116" s="23">
        <v>44464</v>
      </c>
      <c r="E116" s="13">
        <v>3</v>
      </c>
      <c r="F116" s="13"/>
      <c r="G116" s="13" t="s">
        <v>96</v>
      </c>
      <c r="H116" s="13">
        <v>49</v>
      </c>
      <c r="I116" s="23">
        <v>46239</v>
      </c>
      <c r="J116" s="13" t="s">
        <v>62</v>
      </c>
      <c r="K116" s="2" t="s">
        <v>546</v>
      </c>
      <c r="L116" s="2"/>
      <c r="M116" s="4">
        <v>46231</v>
      </c>
      <c r="U116" s="2" t="s">
        <v>20</v>
      </c>
      <c r="V116" s="4">
        <v>45717</v>
      </c>
      <c r="W116" s="4">
        <v>45961</v>
      </c>
      <c r="X116" s="5">
        <v>46239</v>
      </c>
      <c r="Y116" s="6">
        <v>2.0833333333333332E-2</v>
      </c>
      <c r="Z116" s="2" t="s">
        <v>14</v>
      </c>
      <c r="AA116" s="2" t="s">
        <v>15</v>
      </c>
      <c r="AB116" s="6">
        <v>0.41666666666666669</v>
      </c>
      <c r="AC116" s="2" t="s">
        <v>21</v>
      </c>
      <c r="AD116" s="2">
        <f>X116-W116</f>
        <v>278</v>
      </c>
      <c r="AE116" s="2">
        <f>X116-V116</f>
        <v>522</v>
      </c>
      <c r="AM116">
        <v>33</v>
      </c>
    </row>
    <row r="117" spans="1:39" x14ac:dyDescent="0.2">
      <c r="A117" s="13">
        <v>111</v>
      </c>
      <c r="B117" s="22" t="s">
        <v>198</v>
      </c>
      <c r="C117" s="13" t="s">
        <v>61</v>
      </c>
      <c r="D117" s="23">
        <v>44471</v>
      </c>
      <c r="E117" s="13">
        <v>2</v>
      </c>
      <c r="F117" s="13"/>
      <c r="G117" s="13" t="s">
        <v>199</v>
      </c>
      <c r="H117" s="13">
        <v>255</v>
      </c>
      <c r="I117" s="23">
        <v>45997</v>
      </c>
      <c r="J117" s="13" t="s">
        <v>70</v>
      </c>
      <c r="K117" s="2" t="s">
        <v>546</v>
      </c>
      <c r="L117" s="2">
        <v>110</v>
      </c>
      <c r="M117" s="4">
        <v>46231</v>
      </c>
      <c r="AF117" s="4">
        <v>45997</v>
      </c>
      <c r="AG117" s="4">
        <v>46102</v>
      </c>
      <c r="AH117" s="4" t="s">
        <v>556</v>
      </c>
      <c r="AI117" s="48">
        <f>AG117+210</f>
        <v>46312</v>
      </c>
      <c r="AJ117" s="48">
        <f>AG117+277</f>
        <v>46379</v>
      </c>
      <c r="AK117" s="49" t="s">
        <v>70</v>
      </c>
    </row>
    <row r="118" spans="1:39" x14ac:dyDescent="0.2">
      <c r="A118" s="13">
        <v>112</v>
      </c>
      <c r="B118" s="22" t="s">
        <v>200</v>
      </c>
      <c r="C118" s="13" t="s">
        <v>61</v>
      </c>
      <c r="D118" s="23">
        <v>44474</v>
      </c>
      <c r="E118" s="13">
        <v>2</v>
      </c>
      <c r="F118" s="13"/>
      <c r="G118" s="13" t="s">
        <v>104</v>
      </c>
      <c r="H118" s="13" t="s">
        <v>201</v>
      </c>
      <c r="I118" s="23">
        <v>45934</v>
      </c>
      <c r="J118" s="13" t="s">
        <v>68</v>
      </c>
      <c r="K118" s="2" t="s">
        <v>546</v>
      </c>
      <c r="L118" s="2">
        <v>110</v>
      </c>
      <c r="M118" s="4">
        <v>46231</v>
      </c>
      <c r="AF118" s="4">
        <v>45934</v>
      </c>
      <c r="AG118" s="4">
        <v>46029</v>
      </c>
      <c r="AH118" s="47" t="s">
        <v>554</v>
      </c>
      <c r="AI118" s="48">
        <f>AG118+210</f>
        <v>46239</v>
      </c>
      <c r="AJ118" s="48">
        <f>AG118+277</f>
        <v>46306</v>
      </c>
      <c r="AK118" s="49" t="s">
        <v>70</v>
      </c>
    </row>
    <row r="119" spans="1:39" x14ac:dyDescent="0.2">
      <c r="A119" s="13">
        <v>113</v>
      </c>
      <c r="B119" s="22" t="s">
        <v>202</v>
      </c>
      <c r="C119" s="13" t="s">
        <v>61</v>
      </c>
      <c r="D119" s="23">
        <v>44490</v>
      </c>
      <c r="E119" s="13">
        <v>2</v>
      </c>
      <c r="F119" s="13"/>
      <c r="G119" s="13" t="s">
        <v>160</v>
      </c>
      <c r="H119" s="13" t="s">
        <v>95</v>
      </c>
      <c r="I119" s="23">
        <v>46170</v>
      </c>
      <c r="J119" s="13" t="s">
        <v>62</v>
      </c>
      <c r="K119" s="2" t="s">
        <v>546</v>
      </c>
      <c r="L119" s="2"/>
      <c r="M119" s="4">
        <v>46231</v>
      </c>
      <c r="N119" s="4">
        <v>46170</v>
      </c>
      <c r="O119" s="4">
        <v>46254</v>
      </c>
      <c r="P119" s="4">
        <v>46258</v>
      </c>
      <c r="Q119" s="2" t="s">
        <v>49</v>
      </c>
      <c r="R119" s="2">
        <v>2</v>
      </c>
      <c r="S119" s="2" t="s">
        <v>570</v>
      </c>
      <c r="T119" s="2" t="s">
        <v>580</v>
      </c>
      <c r="AE119" s="2">
        <v>371</v>
      </c>
    </row>
    <row r="120" spans="1:39" x14ac:dyDescent="0.2">
      <c r="A120" s="13">
        <v>114</v>
      </c>
      <c r="B120" s="22" t="s">
        <v>203</v>
      </c>
      <c r="C120" s="13" t="s">
        <v>61</v>
      </c>
      <c r="D120" s="23">
        <v>44547</v>
      </c>
      <c r="E120" s="13">
        <v>2</v>
      </c>
      <c r="F120" s="13"/>
      <c r="G120" s="13" t="s">
        <v>204</v>
      </c>
      <c r="H120" s="13" t="s">
        <v>205</v>
      </c>
      <c r="I120" s="23">
        <v>45946</v>
      </c>
      <c r="J120" s="13" t="s">
        <v>62</v>
      </c>
      <c r="K120" s="2" t="s">
        <v>546</v>
      </c>
      <c r="L120" s="2">
        <v>120</v>
      </c>
      <c r="M120" s="4">
        <v>46231</v>
      </c>
      <c r="N120" s="4">
        <v>45946</v>
      </c>
      <c r="O120" s="4">
        <v>46215</v>
      </c>
      <c r="P120" s="4">
        <v>46264</v>
      </c>
      <c r="Q120" s="2" t="s">
        <v>577</v>
      </c>
      <c r="R120" s="2">
        <v>3</v>
      </c>
      <c r="S120" s="2" t="s">
        <v>570</v>
      </c>
      <c r="T120" s="2"/>
      <c r="AE120" s="2">
        <v>384</v>
      </c>
    </row>
    <row r="121" spans="1:39" x14ac:dyDescent="0.2">
      <c r="A121" s="13">
        <v>115</v>
      </c>
      <c r="B121" s="22" t="s">
        <v>206</v>
      </c>
      <c r="C121" s="13" t="s">
        <v>61</v>
      </c>
      <c r="D121" s="23">
        <v>44549</v>
      </c>
      <c r="E121" s="13">
        <v>1</v>
      </c>
      <c r="F121" s="13"/>
      <c r="G121" s="13" t="s">
        <v>204</v>
      </c>
      <c r="H121" s="13" t="s">
        <v>207</v>
      </c>
      <c r="I121" s="23">
        <v>45571</v>
      </c>
      <c r="J121" s="13" t="s">
        <v>70</v>
      </c>
      <c r="K121" s="2" t="s">
        <v>546</v>
      </c>
      <c r="L121" s="2"/>
      <c r="M121" s="4">
        <v>46231</v>
      </c>
    </row>
    <row r="122" spans="1:39" x14ac:dyDescent="0.2">
      <c r="A122" s="13">
        <v>116</v>
      </c>
      <c r="B122" s="22" t="s">
        <v>208</v>
      </c>
      <c r="C122" s="13" t="s">
        <v>61</v>
      </c>
      <c r="D122" s="23">
        <v>44558</v>
      </c>
      <c r="E122" s="13">
        <v>1</v>
      </c>
      <c r="F122" s="13"/>
      <c r="G122" s="13" t="s">
        <v>96</v>
      </c>
      <c r="H122" s="13" t="s">
        <v>97</v>
      </c>
      <c r="I122" s="23">
        <v>45906</v>
      </c>
      <c r="J122" s="13" t="s">
        <v>62</v>
      </c>
      <c r="K122" s="2" t="s">
        <v>546</v>
      </c>
      <c r="L122" s="2">
        <v>110</v>
      </c>
      <c r="M122" s="4">
        <v>46231</v>
      </c>
      <c r="N122" s="4">
        <v>45906</v>
      </c>
      <c r="O122" s="4">
        <v>46229</v>
      </c>
      <c r="P122" s="4">
        <v>46251</v>
      </c>
      <c r="Q122" s="2" t="s">
        <v>574</v>
      </c>
      <c r="R122" s="2">
        <v>7</v>
      </c>
      <c r="S122" s="2" t="s">
        <v>570</v>
      </c>
      <c r="T122" s="2"/>
      <c r="AE122" s="2">
        <v>353</v>
      </c>
    </row>
    <row r="123" spans="1:39" x14ac:dyDescent="0.2">
      <c r="A123" s="13">
        <v>117</v>
      </c>
      <c r="B123" s="22" t="s">
        <v>209</v>
      </c>
      <c r="C123" s="13" t="s">
        <v>61</v>
      </c>
      <c r="D123" s="23">
        <v>44558</v>
      </c>
      <c r="E123" s="13">
        <v>1</v>
      </c>
      <c r="F123" s="13"/>
      <c r="G123" s="13" t="s">
        <v>140</v>
      </c>
      <c r="H123" s="13">
        <v>270</v>
      </c>
      <c r="I123" s="23">
        <v>45578</v>
      </c>
      <c r="J123" s="13" t="s">
        <v>68</v>
      </c>
      <c r="K123" s="2" t="s">
        <v>546</v>
      </c>
      <c r="L123" s="2">
        <v>100</v>
      </c>
      <c r="M123" s="4">
        <v>46231</v>
      </c>
    </row>
    <row r="124" spans="1:39" x14ac:dyDescent="0.2">
      <c r="A124" s="13">
        <v>118</v>
      </c>
      <c r="B124" s="22" t="s">
        <v>22</v>
      </c>
      <c r="C124" s="13" t="s">
        <v>61</v>
      </c>
      <c r="D124" s="23">
        <v>44563</v>
      </c>
      <c r="E124" s="13">
        <v>2</v>
      </c>
      <c r="F124" s="13"/>
      <c r="G124" s="13" t="s">
        <v>186</v>
      </c>
      <c r="H124" s="13">
        <v>224</v>
      </c>
      <c r="I124" s="23">
        <v>46243</v>
      </c>
      <c r="J124" s="13" t="s">
        <v>62</v>
      </c>
      <c r="K124" s="2" t="s">
        <v>546</v>
      </c>
      <c r="L124" s="2">
        <v>110</v>
      </c>
      <c r="M124" s="4">
        <v>46231</v>
      </c>
      <c r="U124" s="2" t="s">
        <v>12</v>
      </c>
      <c r="V124" s="4">
        <v>45714</v>
      </c>
      <c r="W124" s="4">
        <v>45970</v>
      </c>
      <c r="X124" s="5">
        <v>46243</v>
      </c>
      <c r="Y124" s="6">
        <v>0.60416666666666663</v>
      </c>
      <c r="Z124" s="2" t="s">
        <v>14</v>
      </c>
      <c r="AA124" s="2" t="s">
        <v>15</v>
      </c>
      <c r="AB124" s="6">
        <v>0.85416666666666663</v>
      </c>
      <c r="AC124" s="2" t="s">
        <v>17</v>
      </c>
      <c r="AD124" s="2">
        <f>X124-W124</f>
        <v>273</v>
      </c>
      <c r="AE124" s="2">
        <f>X124-V124</f>
        <v>529</v>
      </c>
      <c r="AM124">
        <v>30</v>
      </c>
    </row>
    <row r="125" spans="1:39" x14ac:dyDescent="0.2">
      <c r="A125" s="13">
        <v>119</v>
      </c>
      <c r="B125" s="22" t="s">
        <v>210</v>
      </c>
      <c r="C125" s="13" t="s">
        <v>61</v>
      </c>
      <c r="D125" s="23">
        <v>44618</v>
      </c>
      <c r="E125" s="13">
        <v>2</v>
      </c>
      <c r="F125" s="13"/>
      <c r="G125" s="13" t="s">
        <v>160</v>
      </c>
      <c r="H125" s="13">
        <v>246</v>
      </c>
      <c r="I125" s="23">
        <v>45934</v>
      </c>
      <c r="J125" s="13" t="s">
        <v>70</v>
      </c>
      <c r="K125" s="2" t="s">
        <v>546</v>
      </c>
      <c r="L125" s="2">
        <v>110</v>
      </c>
      <c r="M125" s="4">
        <v>46231</v>
      </c>
      <c r="AF125" s="4">
        <v>45934</v>
      </c>
      <c r="AG125" s="4">
        <v>46039</v>
      </c>
      <c r="AH125" s="47" t="s">
        <v>554</v>
      </c>
      <c r="AI125" s="48">
        <f>AG125+210</f>
        <v>46249</v>
      </c>
      <c r="AJ125" s="48">
        <f>AG125+277</f>
        <v>46316</v>
      </c>
      <c r="AK125" s="49" t="s">
        <v>68</v>
      </c>
    </row>
    <row r="126" spans="1:39" x14ac:dyDescent="0.2">
      <c r="A126" s="13">
        <v>120</v>
      </c>
      <c r="B126" s="22" t="s">
        <v>211</v>
      </c>
      <c r="C126" s="13" t="s">
        <v>61</v>
      </c>
      <c r="D126" s="23">
        <v>44622</v>
      </c>
      <c r="E126" s="13">
        <v>2</v>
      </c>
      <c r="F126" s="13"/>
      <c r="G126" s="13" t="s">
        <v>100</v>
      </c>
      <c r="H126" s="13">
        <v>33</v>
      </c>
      <c r="I126" s="23">
        <v>46170</v>
      </c>
      <c r="J126" s="13" t="s">
        <v>62</v>
      </c>
      <c r="K126" s="2" t="s">
        <v>546</v>
      </c>
      <c r="L126" s="2">
        <v>110</v>
      </c>
      <c r="M126" s="4">
        <v>46231</v>
      </c>
    </row>
    <row r="127" spans="1:39" x14ac:dyDescent="0.2">
      <c r="A127" s="13">
        <v>121</v>
      </c>
      <c r="B127" s="22" t="s">
        <v>212</v>
      </c>
      <c r="C127" s="13" t="s">
        <v>73</v>
      </c>
      <c r="D127" s="23">
        <v>44656</v>
      </c>
      <c r="E127" s="13">
        <v>2</v>
      </c>
      <c r="F127" s="13"/>
      <c r="G127" s="13" t="s">
        <v>104</v>
      </c>
      <c r="H127" s="13">
        <v>546</v>
      </c>
      <c r="I127" s="23">
        <v>46164</v>
      </c>
      <c r="J127" s="13" t="s">
        <v>62</v>
      </c>
      <c r="K127" s="2" t="s">
        <v>546</v>
      </c>
      <c r="L127" s="2">
        <v>110</v>
      </c>
      <c r="M127" s="4">
        <v>46231</v>
      </c>
      <c r="N127" s="4">
        <v>46164</v>
      </c>
      <c r="O127" s="2"/>
      <c r="P127" s="4">
        <v>46236</v>
      </c>
      <c r="Q127" s="2" t="s">
        <v>49</v>
      </c>
      <c r="R127" s="2">
        <v>1</v>
      </c>
      <c r="S127" s="2" t="s">
        <v>570</v>
      </c>
      <c r="T127" s="2"/>
      <c r="AE127" s="2">
        <v>337</v>
      </c>
    </row>
    <row r="128" spans="1:39" x14ac:dyDescent="0.2">
      <c r="A128" s="13">
        <v>122</v>
      </c>
      <c r="B128" s="22" t="s">
        <v>213</v>
      </c>
      <c r="C128" s="13" t="s">
        <v>61</v>
      </c>
      <c r="D128" s="23">
        <v>44665</v>
      </c>
      <c r="E128" s="13">
        <v>1</v>
      </c>
      <c r="F128" s="13"/>
      <c r="G128" s="13" t="s">
        <v>104</v>
      </c>
      <c r="H128" s="13" t="s">
        <v>214</v>
      </c>
      <c r="I128" s="23">
        <v>45740</v>
      </c>
      <c r="J128" s="13" t="s">
        <v>62</v>
      </c>
      <c r="K128" s="2" t="s">
        <v>546</v>
      </c>
      <c r="L128" s="2">
        <v>110</v>
      </c>
      <c r="M128" s="4">
        <v>46231</v>
      </c>
      <c r="N128" s="4">
        <v>46105</v>
      </c>
      <c r="O128" s="4">
        <v>46043</v>
      </c>
      <c r="P128" s="4">
        <v>46243</v>
      </c>
      <c r="Q128" s="2" t="s">
        <v>49</v>
      </c>
      <c r="R128" s="2">
        <v>7</v>
      </c>
      <c r="S128" s="2" t="s">
        <v>570</v>
      </c>
      <c r="T128" s="2" t="s">
        <v>573</v>
      </c>
      <c r="AE128" s="2">
        <v>346</v>
      </c>
    </row>
    <row r="129" spans="1:39" x14ac:dyDescent="0.2">
      <c r="A129" s="13">
        <v>123</v>
      </c>
      <c r="B129" s="22" t="s">
        <v>215</v>
      </c>
      <c r="C129" s="13" t="s">
        <v>61</v>
      </c>
      <c r="D129" s="23">
        <v>44668</v>
      </c>
      <c r="E129" s="13">
        <v>2</v>
      </c>
      <c r="F129" s="13"/>
      <c r="G129" s="13" t="s">
        <v>216</v>
      </c>
      <c r="H129" s="13">
        <v>547</v>
      </c>
      <c r="I129" s="23">
        <v>46034</v>
      </c>
      <c r="J129" s="13" t="s">
        <v>70</v>
      </c>
      <c r="K129" s="2" t="s">
        <v>546</v>
      </c>
      <c r="L129" s="2">
        <v>120</v>
      </c>
      <c r="M129" s="4">
        <v>46231</v>
      </c>
      <c r="AF129" s="4">
        <v>46034</v>
      </c>
      <c r="AG129" s="4">
        <v>46106</v>
      </c>
      <c r="AH129" s="4" t="s">
        <v>556</v>
      </c>
      <c r="AI129" s="48">
        <f>AG129+210</f>
        <v>46316</v>
      </c>
      <c r="AJ129" s="48">
        <f>AG129+277</f>
        <v>46383</v>
      </c>
      <c r="AK129" s="49" t="s">
        <v>70</v>
      </c>
    </row>
    <row r="130" spans="1:39" x14ac:dyDescent="0.2">
      <c r="A130" s="13">
        <v>124</v>
      </c>
      <c r="B130" s="22" t="s">
        <v>217</v>
      </c>
      <c r="C130" s="13" t="s">
        <v>61</v>
      </c>
      <c r="D130" s="23">
        <v>44668</v>
      </c>
      <c r="E130" s="13">
        <v>2</v>
      </c>
      <c r="F130" s="13"/>
      <c r="G130" s="13" t="s">
        <v>96</v>
      </c>
      <c r="H130" s="13" t="s">
        <v>74</v>
      </c>
      <c r="I130" s="23">
        <v>46003</v>
      </c>
      <c r="J130" s="13" t="s">
        <v>62</v>
      </c>
      <c r="K130" s="2" t="s">
        <v>546</v>
      </c>
      <c r="L130" s="2">
        <v>110</v>
      </c>
      <c r="M130" s="4">
        <v>46231</v>
      </c>
      <c r="N130" s="4">
        <v>46003</v>
      </c>
      <c r="O130" s="4">
        <v>46213</v>
      </c>
      <c r="P130" s="4">
        <v>46256</v>
      </c>
      <c r="Q130" s="2" t="s">
        <v>528</v>
      </c>
      <c r="R130" s="2">
        <v>6</v>
      </c>
      <c r="S130" s="2" t="s">
        <v>570</v>
      </c>
      <c r="T130" s="2"/>
      <c r="AE130" s="2">
        <v>366</v>
      </c>
    </row>
    <row r="131" spans="1:39" x14ac:dyDescent="0.2">
      <c r="A131" s="13">
        <v>125</v>
      </c>
      <c r="B131" s="22" t="s">
        <v>218</v>
      </c>
      <c r="C131" s="40" t="s">
        <v>61</v>
      </c>
      <c r="D131" s="41">
        <v>44676</v>
      </c>
      <c r="E131" s="40">
        <v>2</v>
      </c>
      <c r="F131" s="40"/>
      <c r="G131" s="40" t="s">
        <v>216</v>
      </c>
      <c r="H131" s="40" t="s">
        <v>219</v>
      </c>
      <c r="I131" s="41">
        <v>45958</v>
      </c>
      <c r="J131" s="13" t="s">
        <v>68</v>
      </c>
      <c r="K131" s="2" t="s">
        <v>546</v>
      </c>
      <c r="L131" s="2">
        <v>110</v>
      </c>
      <c r="M131" s="4">
        <v>46231</v>
      </c>
      <c r="AF131" s="4">
        <v>45958</v>
      </c>
      <c r="AG131" s="4">
        <v>46038</v>
      </c>
      <c r="AH131" s="47" t="s">
        <v>554</v>
      </c>
      <c r="AI131" s="48">
        <f>AG131+210</f>
        <v>46248</v>
      </c>
      <c r="AJ131" s="48">
        <f>AG131+277</f>
        <v>46315</v>
      </c>
      <c r="AK131" s="49" t="s">
        <v>70</v>
      </c>
    </row>
    <row r="132" spans="1:39" x14ac:dyDescent="0.2">
      <c r="A132" s="13">
        <v>126</v>
      </c>
      <c r="B132" s="22" t="s">
        <v>220</v>
      </c>
      <c r="C132" s="40" t="s">
        <v>61</v>
      </c>
      <c r="D132" s="41">
        <v>44680</v>
      </c>
      <c r="E132" s="40">
        <v>1</v>
      </c>
      <c r="F132" s="40"/>
      <c r="G132" s="40" t="s">
        <v>221</v>
      </c>
      <c r="H132" s="40" t="s">
        <v>24</v>
      </c>
      <c r="I132" s="41">
        <v>45678</v>
      </c>
      <c r="J132" s="13" t="s">
        <v>68</v>
      </c>
      <c r="K132" s="2" t="s">
        <v>546</v>
      </c>
      <c r="L132" s="2">
        <v>115</v>
      </c>
      <c r="M132" s="4">
        <v>46231</v>
      </c>
      <c r="AF132" s="4">
        <v>45678</v>
      </c>
      <c r="AG132" s="4">
        <v>46000</v>
      </c>
      <c r="AH132" s="47" t="s">
        <v>12</v>
      </c>
      <c r="AI132" s="48">
        <f>AG132+210</f>
        <v>46210</v>
      </c>
      <c r="AJ132" s="48">
        <f>AG132+277</f>
        <v>46277</v>
      </c>
      <c r="AK132" s="49" t="s">
        <v>68</v>
      </c>
    </row>
    <row r="133" spans="1:39" x14ac:dyDescent="0.2">
      <c r="A133" s="13">
        <v>127</v>
      </c>
      <c r="B133" s="22" t="s">
        <v>222</v>
      </c>
      <c r="C133" s="13" t="s">
        <v>61</v>
      </c>
      <c r="D133" s="23">
        <v>44682</v>
      </c>
      <c r="E133" s="13">
        <v>2</v>
      </c>
      <c r="F133" s="13"/>
      <c r="G133" s="13" t="s">
        <v>140</v>
      </c>
      <c r="H133" s="13" t="s">
        <v>110</v>
      </c>
      <c r="I133" s="23">
        <v>46095</v>
      </c>
      <c r="J133" s="13" t="s">
        <v>62</v>
      </c>
      <c r="K133" s="2" t="s">
        <v>546</v>
      </c>
      <c r="L133" s="2">
        <v>110</v>
      </c>
      <c r="M133" s="4">
        <v>46231</v>
      </c>
    </row>
    <row r="134" spans="1:39" x14ac:dyDescent="0.2">
      <c r="A134" s="13">
        <v>128</v>
      </c>
      <c r="B134" s="22" t="s">
        <v>223</v>
      </c>
      <c r="C134" s="13" t="s">
        <v>61</v>
      </c>
      <c r="D134" s="23">
        <v>44686</v>
      </c>
      <c r="E134" s="13">
        <v>2</v>
      </c>
      <c r="F134" s="13"/>
      <c r="G134" s="13" t="s">
        <v>216</v>
      </c>
      <c r="H134" s="13" t="s">
        <v>125</v>
      </c>
      <c r="I134" s="23">
        <v>46038</v>
      </c>
      <c r="J134" s="13" t="s">
        <v>70</v>
      </c>
      <c r="K134" s="2" t="s">
        <v>546</v>
      </c>
      <c r="L134" s="2">
        <v>120</v>
      </c>
      <c r="M134" s="4">
        <v>46231</v>
      </c>
      <c r="AF134" s="4">
        <v>46038</v>
      </c>
      <c r="AG134" s="4">
        <v>46145</v>
      </c>
      <c r="AH134" s="4" t="s">
        <v>560</v>
      </c>
      <c r="AI134" s="48">
        <f>AG134+210</f>
        <v>46355</v>
      </c>
      <c r="AJ134" s="48">
        <f>AG134+277</f>
        <v>46422</v>
      </c>
      <c r="AK134" s="49" t="s">
        <v>70</v>
      </c>
    </row>
    <row r="135" spans="1:39" x14ac:dyDescent="0.2">
      <c r="A135" s="13">
        <v>129</v>
      </c>
      <c r="B135" s="22" t="s">
        <v>224</v>
      </c>
      <c r="C135" s="13" t="s">
        <v>61</v>
      </c>
      <c r="D135" s="23">
        <v>44691</v>
      </c>
      <c r="E135" s="13">
        <v>1</v>
      </c>
      <c r="F135" s="13"/>
      <c r="G135" s="13" t="s">
        <v>221</v>
      </c>
      <c r="H135" s="13" t="s">
        <v>115</v>
      </c>
      <c r="I135" s="23">
        <v>45963</v>
      </c>
      <c r="J135" s="13" t="s">
        <v>70</v>
      </c>
      <c r="K135" s="2" t="s">
        <v>546</v>
      </c>
      <c r="L135" s="2">
        <v>110</v>
      </c>
      <c r="M135" s="4">
        <v>46231</v>
      </c>
      <c r="AF135" s="4">
        <v>45963</v>
      </c>
      <c r="AG135" s="4">
        <v>46111</v>
      </c>
      <c r="AH135" s="4" t="s">
        <v>554</v>
      </c>
      <c r="AI135" s="48">
        <f>AG135+210</f>
        <v>46321</v>
      </c>
      <c r="AJ135" s="48">
        <f>AG135+277</f>
        <v>46388</v>
      </c>
      <c r="AK135" s="49" t="s">
        <v>70</v>
      </c>
    </row>
    <row r="136" spans="1:39" x14ac:dyDescent="0.2">
      <c r="A136" s="13">
        <v>130</v>
      </c>
      <c r="B136" s="22" t="s">
        <v>225</v>
      </c>
      <c r="C136" s="13" t="s">
        <v>61</v>
      </c>
      <c r="D136" s="23">
        <v>44725</v>
      </c>
      <c r="E136" s="13">
        <v>1</v>
      </c>
      <c r="F136" s="13"/>
      <c r="G136" s="13" t="s">
        <v>226</v>
      </c>
      <c r="H136" s="13">
        <v>581</v>
      </c>
      <c r="I136" s="23">
        <v>45989</v>
      </c>
      <c r="J136" s="13" t="s">
        <v>62</v>
      </c>
      <c r="K136" s="2" t="s">
        <v>546</v>
      </c>
      <c r="L136" s="2">
        <v>100</v>
      </c>
      <c r="M136" s="4">
        <v>46231</v>
      </c>
    </row>
    <row r="137" spans="1:39" x14ac:dyDescent="0.2">
      <c r="A137" s="13">
        <v>131</v>
      </c>
      <c r="B137" s="22" t="s">
        <v>227</v>
      </c>
      <c r="C137" s="13" t="s">
        <v>61</v>
      </c>
      <c r="D137" s="23">
        <v>44735</v>
      </c>
      <c r="E137" s="13">
        <v>1</v>
      </c>
      <c r="F137" s="13"/>
      <c r="G137" s="13" t="s">
        <v>216</v>
      </c>
      <c r="H137" s="13" t="s">
        <v>168</v>
      </c>
      <c r="I137" s="23">
        <v>45930</v>
      </c>
      <c r="J137" s="13" t="s">
        <v>68</v>
      </c>
      <c r="K137" s="2" t="s">
        <v>546</v>
      </c>
      <c r="L137" s="2">
        <v>110</v>
      </c>
      <c r="M137" s="4">
        <v>46231</v>
      </c>
      <c r="AF137" s="4">
        <v>45930</v>
      </c>
      <c r="AG137" s="4">
        <v>46005</v>
      </c>
      <c r="AH137" s="47" t="s">
        <v>12</v>
      </c>
      <c r="AI137" s="48">
        <f>AG137+210</f>
        <v>46215</v>
      </c>
      <c r="AJ137" s="48">
        <f>AG137+277</f>
        <v>46282</v>
      </c>
      <c r="AK137" s="49" t="s">
        <v>68</v>
      </c>
    </row>
    <row r="138" spans="1:39" x14ac:dyDescent="0.2">
      <c r="A138" s="13">
        <v>132</v>
      </c>
      <c r="B138" s="22" t="s">
        <v>228</v>
      </c>
      <c r="C138" s="13" t="s">
        <v>61</v>
      </c>
      <c r="D138" s="23">
        <v>44735</v>
      </c>
      <c r="E138" s="13">
        <v>1</v>
      </c>
      <c r="F138" s="13"/>
      <c r="G138" s="13" t="s">
        <v>229</v>
      </c>
      <c r="H138" s="13" t="s">
        <v>76</v>
      </c>
      <c r="I138" s="23">
        <v>45954</v>
      </c>
      <c r="J138" s="13" t="s">
        <v>62</v>
      </c>
      <c r="K138" s="2" t="s">
        <v>546</v>
      </c>
      <c r="L138" s="2">
        <v>100</v>
      </c>
      <c r="M138" s="4">
        <v>46231</v>
      </c>
    </row>
    <row r="139" spans="1:39" x14ac:dyDescent="0.2">
      <c r="A139" s="13">
        <v>133</v>
      </c>
      <c r="B139" s="22" t="s">
        <v>230</v>
      </c>
      <c r="C139" s="13" t="s">
        <v>63</v>
      </c>
      <c r="D139" s="23">
        <v>44742</v>
      </c>
      <c r="E139" s="13">
        <v>1</v>
      </c>
      <c r="F139" s="13"/>
      <c r="G139" s="13" t="s">
        <v>188</v>
      </c>
      <c r="H139" s="13">
        <v>509</v>
      </c>
      <c r="I139" s="23">
        <v>46041</v>
      </c>
      <c r="J139" s="13" t="s">
        <v>62</v>
      </c>
      <c r="K139" s="2" t="s">
        <v>546</v>
      </c>
      <c r="L139" s="2">
        <v>100</v>
      </c>
      <c r="M139" s="4">
        <v>46231</v>
      </c>
      <c r="N139" s="4">
        <v>46041</v>
      </c>
      <c r="O139" s="4">
        <v>46169</v>
      </c>
      <c r="P139" s="4">
        <v>46245</v>
      </c>
      <c r="Q139" s="2" t="s">
        <v>270</v>
      </c>
      <c r="R139" s="2">
        <v>3</v>
      </c>
      <c r="S139" s="2" t="s">
        <v>570</v>
      </c>
      <c r="T139" s="2" t="s">
        <v>572</v>
      </c>
      <c r="AE139" s="2">
        <v>350</v>
      </c>
    </row>
    <row r="140" spans="1:39" x14ac:dyDescent="0.2">
      <c r="A140" s="13">
        <v>1</v>
      </c>
      <c r="B140" s="22" t="s">
        <v>388</v>
      </c>
      <c r="C140" s="13" t="s">
        <v>61</v>
      </c>
      <c r="D140" s="23">
        <v>44760</v>
      </c>
      <c r="E140" s="13">
        <v>2</v>
      </c>
      <c r="J140" s="61" t="s">
        <v>583</v>
      </c>
      <c r="M140" s="4">
        <v>46231</v>
      </c>
      <c r="N140" s="4">
        <v>46041</v>
      </c>
      <c r="O140" s="4">
        <v>46245</v>
      </c>
      <c r="P140" s="4">
        <v>46261</v>
      </c>
      <c r="Q140" s="2" t="s">
        <v>270</v>
      </c>
      <c r="R140" s="2">
        <v>4</v>
      </c>
      <c r="S140" s="2" t="s">
        <v>570</v>
      </c>
      <c r="T140" s="2"/>
      <c r="AE140" s="2">
        <v>375</v>
      </c>
    </row>
    <row r="141" spans="1:39" x14ac:dyDescent="0.2">
      <c r="A141" s="13">
        <v>134</v>
      </c>
      <c r="B141" s="22" t="s">
        <v>231</v>
      </c>
      <c r="C141" s="13" t="s">
        <v>61</v>
      </c>
      <c r="D141" s="23">
        <v>44761</v>
      </c>
      <c r="E141" s="13">
        <v>1</v>
      </c>
      <c r="F141" s="13"/>
      <c r="G141" s="13" t="s">
        <v>232</v>
      </c>
      <c r="H141" s="13" t="s">
        <v>233</v>
      </c>
      <c r="I141" s="23">
        <v>45672</v>
      </c>
      <c r="J141" s="13" t="s">
        <v>68</v>
      </c>
      <c r="K141" s="2" t="s">
        <v>546</v>
      </c>
      <c r="L141" s="2"/>
      <c r="M141" s="4">
        <v>46231</v>
      </c>
      <c r="AF141" s="4">
        <v>45672</v>
      </c>
      <c r="AG141" s="4">
        <v>46020</v>
      </c>
      <c r="AH141" s="47" t="s">
        <v>528</v>
      </c>
      <c r="AI141" s="48">
        <f>AG141+210</f>
        <v>46230</v>
      </c>
      <c r="AJ141" s="48">
        <f>AG141+277</f>
        <v>46297</v>
      </c>
      <c r="AK141" s="49" t="s">
        <v>68</v>
      </c>
    </row>
    <row r="142" spans="1:39" x14ac:dyDescent="0.2">
      <c r="A142" s="13">
        <v>135</v>
      </c>
      <c r="B142" s="22" t="s">
        <v>234</v>
      </c>
      <c r="C142" s="13" t="s">
        <v>63</v>
      </c>
      <c r="D142" s="23">
        <v>44763</v>
      </c>
      <c r="E142" s="13">
        <v>1</v>
      </c>
      <c r="F142" s="13"/>
      <c r="G142" s="13" t="s">
        <v>188</v>
      </c>
      <c r="H142" s="13">
        <v>607</v>
      </c>
      <c r="I142" s="23">
        <v>45806</v>
      </c>
      <c r="J142" s="13" t="s">
        <v>64</v>
      </c>
      <c r="K142" s="2" t="s">
        <v>546</v>
      </c>
      <c r="L142" s="2"/>
      <c r="M142" s="4">
        <v>46231</v>
      </c>
    </row>
    <row r="143" spans="1:39" x14ac:dyDescent="0.2">
      <c r="A143" s="13">
        <v>136</v>
      </c>
      <c r="B143" s="42" t="s">
        <v>50</v>
      </c>
      <c r="C143" s="40" t="s">
        <v>61</v>
      </c>
      <c r="D143" s="41">
        <v>44777</v>
      </c>
      <c r="E143" s="40">
        <v>2</v>
      </c>
      <c r="F143" s="40"/>
      <c r="G143" s="40" t="s">
        <v>235</v>
      </c>
      <c r="H143" s="40">
        <v>70</v>
      </c>
      <c r="I143" s="41">
        <v>46265</v>
      </c>
      <c r="J143" s="13" t="s">
        <v>62</v>
      </c>
      <c r="K143" s="2" t="s">
        <v>546</v>
      </c>
      <c r="L143" s="2">
        <v>110</v>
      </c>
      <c r="M143" s="4">
        <v>46231</v>
      </c>
      <c r="U143" s="2" t="s">
        <v>25</v>
      </c>
      <c r="V143" s="4">
        <v>45916</v>
      </c>
      <c r="W143" s="4">
        <v>45991</v>
      </c>
      <c r="X143" s="5">
        <v>46265</v>
      </c>
      <c r="Y143" s="6">
        <v>0.60416666666666663</v>
      </c>
      <c r="Z143" s="2" t="s">
        <v>14</v>
      </c>
      <c r="AA143" s="2" t="s">
        <v>15</v>
      </c>
      <c r="AB143" s="6">
        <v>0.8125</v>
      </c>
      <c r="AC143" s="2" t="s">
        <v>21</v>
      </c>
      <c r="AD143" s="2">
        <f>X143-W143</f>
        <v>274</v>
      </c>
      <c r="AE143" s="2">
        <f>X143-V143</f>
        <v>349</v>
      </c>
    </row>
    <row r="144" spans="1:39" x14ac:dyDescent="0.2">
      <c r="A144" s="13">
        <v>137</v>
      </c>
      <c r="B144" s="22" t="s">
        <v>46</v>
      </c>
      <c r="C144" s="13" t="s">
        <v>61</v>
      </c>
      <c r="D144" s="23">
        <v>44777</v>
      </c>
      <c r="E144" s="13">
        <v>2</v>
      </c>
      <c r="F144" s="13"/>
      <c r="G144" s="13" t="s">
        <v>235</v>
      </c>
      <c r="H144" s="13" t="s">
        <v>236</v>
      </c>
      <c r="I144" s="23">
        <v>46262</v>
      </c>
      <c r="J144" s="13" t="s">
        <v>62</v>
      </c>
      <c r="K144" s="2" t="s">
        <v>546</v>
      </c>
      <c r="L144" s="2"/>
      <c r="M144" s="4">
        <v>46231</v>
      </c>
      <c r="U144" s="2" t="s">
        <v>25</v>
      </c>
      <c r="V144" s="4">
        <v>45907</v>
      </c>
      <c r="W144" s="4">
        <v>45990</v>
      </c>
      <c r="X144" s="5">
        <v>46262</v>
      </c>
      <c r="Y144" s="6">
        <v>0.8125</v>
      </c>
      <c r="Z144" s="2" t="s">
        <v>14</v>
      </c>
      <c r="AA144" s="2" t="s">
        <v>15</v>
      </c>
      <c r="AB144" s="6">
        <v>0.29166666666666669</v>
      </c>
      <c r="AC144" s="2" t="s">
        <v>17</v>
      </c>
      <c r="AD144" s="2">
        <f>X144-W144</f>
        <v>272</v>
      </c>
      <c r="AE144" s="2">
        <f>X144-V144</f>
        <v>355</v>
      </c>
      <c r="AM144">
        <v>28</v>
      </c>
    </row>
    <row r="145" spans="1:39" x14ac:dyDescent="0.2">
      <c r="A145" s="13">
        <v>138</v>
      </c>
      <c r="B145" s="22" t="s">
        <v>237</v>
      </c>
      <c r="C145" s="13" t="s">
        <v>61</v>
      </c>
      <c r="D145" s="23">
        <v>44793</v>
      </c>
      <c r="E145" s="13">
        <v>1</v>
      </c>
      <c r="F145" s="13"/>
      <c r="G145" s="13" t="s">
        <v>238</v>
      </c>
      <c r="H145" s="13" t="s">
        <v>130</v>
      </c>
      <c r="I145" s="23">
        <v>45897</v>
      </c>
      <c r="J145" s="13" t="s">
        <v>68</v>
      </c>
      <c r="K145" s="2" t="s">
        <v>546</v>
      </c>
      <c r="L145" s="2">
        <v>110</v>
      </c>
      <c r="M145" s="4">
        <v>46231</v>
      </c>
      <c r="AF145" s="4">
        <v>45897</v>
      </c>
      <c r="AG145" s="4">
        <v>46001</v>
      </c>
      <c r="AH145" s="47" t="s">
        <v>537</v>
      </c>
      <c r="AI145" s="48">
        <f>AG145+210</f>
        <v>46211</v>
      </c>
      <c r="AJ145" s="48">
        <f>AG145+277</f>
        <v>46278</v>
      </c>
      <c r="AK145" s="49" t="s">
        <v>68</v>
      </c>
      <c r="AM145">
        <v>30</v>
      </c>
    </row>
    <row r="146" spans="1:39" x14ac:dyDescent="0.2">
      <c r="A146" s="13">
        <v>139</v>
      </c>
      <c r="B146" s="22" t="s">
        <v>239</v>
      </c>
      <c r="C146" s="13" t="s">
        <v>61</v>
      </c>
      <c r="D146" s="23">
        <v>44815</v>
      </c>
      <c r="E146" s="13">
        <v>1</v>
      </c>
      <c r="F146" s="13"/>
      <c r="G146" s="13" t="s">
        <v>238</v>
      </c>
      <c r="H146" s="13">
        <v>711</v>
      </c>
      <c r="I146" s="23">
        <v>45945</v>
      </c>
      <c r="J146" s="13" t="s">
        <v>62</v>
      </c>
      <c r="K146" s="2" t="s">
        <v>546</v>
      </c>
      <c r="L146" s="2">
        <v>110</v>
      </c>
      <c r="M146" s="4">
        <v>46231</v>
      </c>
    </row>
    <row r="147" spans="1:39" x14ac:dyDescent="0.2">
      <c r="A147" s="13">
        <v>140</v>
      </c>
      <c r="B147" s="22" t="s">
        <v>240</v>
      </c>
      <c r="C147" s="13" t="s">
        <v>61</v>
      </c>
      <c r="D147" s="23">
        <v>44819</v>
      </c>
      <c r="E147" s="13">
        <v>1</v>
      </c>
      <c r="F147" s="13"/>
      <c r="G147" s="13" t="s">
        <v>232</v>
      </c>
      <c r="H147" s="13">
        <v>255</v>
      </c>
      <c r="I147" s="43">
        <v>45912</v>
      </c>
      <c r="J147" s="13" t="s">
        <v>68</v>
      </c>
      <c r="K147" s="2" t="s">
        <v>546</v>
      </c>
      <c r="L147" s="2">
        <v>110</v>
      </c>
      <c r="M147" s="4">
        <v>46231</v>
      </c>
      <c r="AF147" s="4">
        <v>45912</v>
      </c>
      <c r="AG147" s="4">
        <v>46020</v>
      </c>
      <c r="AH147" s="47" t="s">
        <v>528</v>
      </c>
      <c r="AI147" s="48">
        <f>AG147+210</f>
        <v>46230</v>
      </c>
      <c r="AJ147" s="48">
        <f>AG147+277</f>
        <v>46297</v>
      </c>
      <c r="AK147" s="49" t="s">
        <v>68</v>
      </c>
    </row>
    <row r="148" spans="1:39" x14ac:dyDescent="0.2">
      <c r="A148" s="13">
        <v>141</v>
      </c>
      <c r="B148" s="22" t="s">
        <v>241</v>
      </c>
      <c r="C148" s="13" t="s">
        <v>61</v>
      </c>
      <c r="D148" s="23">
        <v>44842</v>
      </c>
      <c r="E148" s="13">
        <v>1</v>
      </c>
      <c r="F148" s="13"/>
      <c r="G148" s="13" t="s">
        <v>242</v>
      </c>
      <c r="H148" s="13">
        <v>261</v>
      </c>
      <c r="I148" s="23">
        <v>45936</v>
      </c>
      <c r="J148" s="13" t="s">
        <v>70</v>
      </c>
      <c r="K148" s="2" t="s">
        <v>546</v>
      </c>
      <c r="L148" s="2">
        <v>90</v>
      </c>
      <c r="M148" s="4">
        <v>46231</v>
      </c>
      <c r="AF148" s="4">
        <v>45936</v>
      </c>
      <c r="AG148" s="4">
        <v>46140</v>
      </c>
      <c r="AH148" s="4" t="s">
        <v>20</v>
      </c>
      <c r="AI148" s="48">
        <f>AG148+210</f>
        <v>46350</v>
      </c>
      <c r="AJ148" s="48">
        <f>AG148+277</f>
        <v>46417</v>
      </c>
      <c r="AK148" s="49" t="s">
        <v>70</v>
      </c>
    </row>
    <row r="149" spans="1:39" x14ac:dyDescent="0.2">
      <c r="A149" s="13">
        <v>142</v>
      </c>
      <c r="B149" s="22" t="s">
        <v>243</v>
      </c>
      <c r="C149" s="13" t="s">
        <v>61</v>
      </c>
      <c r="D149" s="23">
        <v>44847</v>
      </c>
      <c r="E149" s="13">
        <v>1</v>
      </c>
      <c r="F149" s="13"/>
      <c r="G149" s="13" t="s">
        <v>244</v>
      </c>
      <c r="H149" s="13" t="s">
        <v>245</v>
      </c>
      <c r="I149" s="23">
        <v>45847</v>
      </c>
      <c r="J149" s="13" t="s">
        <v>70</v>
      </c>
      <c r="K149" s="2" t="s">
        <v>546</v>
      </c>
      <c r="L149" s="2">
        <v>100</v>
      </c>
      <c r="M149" s="4">
        <v>46231</v>
      </c>
      <c r="AF149" s="4">
        <v>45847</v>
      </c>
      <c r="AG149" s="4">
        <v>46040</v>
      </c>
      <c r="AH149" s="47" t="s">
        <v>554</v>
      </c>
      <c r="AI149" s="48">
        <f>AG149+210</f>
        <v>46250</v>
      </c>
      <c r="AJ149" s="48">
        <f>AG149+277</f>
        <v>46317</v>
      </c>
      <c r="AK149" s="49" t="s">
        <v>70</v>
      </c>
    </row>
    <row r="150" spans="1:39" x14ac:dyDescent="0.2">
      <c r="A150" s="13">
        <v>143</v>
      </c>
      <c r="B150" s="22" t="s">
        <v>246</v>
      </c>
      <c r="C150" s="13" t="s">
        <v>61</v>
      </c>
      <c r="D150" s="23">
        <v>44850</v>
      </c>
      <c r="E150" s="13">
        <v>1</v>
      </c>
      <c r="F150" s="13"/>
      <c r="G150" s="13" t="s">
        <v>232</v>
      </c>
      <c r="H150" s="13">
        <v>604</v>
      </c>
      <c r="I150" s="23">
        <v>45923</v>
      </c>
      <c r="J150" s="13" t="s">
        <v>68</v>
      </c>
      <c r="K150" s="2" t="s">
        <v>546</v>
      </c>
      <c r="L150" s="2">
        <v>100</v>
      </c>
      <c r="M150" s="4">
        <v>46231</v>
      </c>
    </row>
    <row r="151" spans="1:39" x14ac:dyDescent="0.2">
      <c r="A151" s="13">
        <v>144</v>
      </c>
      <c r="B151" s="22" t="s">
        <v>247</v>
      </c>
      <c r="C151" s="13" t="s">
        <v>61</v>
      </c>
      <c r="D151" s="23">
        <v>44853</v>
      </c>
      <c r="E151" s="13">
        <v>1</v>
      </c>
      <c r="F151" s="13"/>
      <c r="G151" s="13" t="s">
        <v>248</v>
      </c>
      <c r="H151" s="13" t="s">
        <v>249</v>
      </c>
      <c r="I151" s="23">
        <v>45958</v>
      </c>
      <c r="J151" s="13" t="s">
        <v>62</v>
      </c>
      <c r="K151" s="2" t="s">
        <v>546</v>
      </c>
      <c r="L151" s="2">
        <v>110</v>
      </c>
      <c r="M151" s="4">
        <v>46231</v>
      </c>
      <c r="N151" s="4">
        <v>46095</v>
      </c>
      <c r="O151" s="2"/>
      <c r="P151" s="4">
        <v>46245</v>
      </c>
      <c r="Q151" s="2" t="s">
        <v>49</v>
      </c>
      <c r="R151" s="2">
        <v>1</v>
      </c>
      <c r="S151" s="2" t="s">
        <v>570</v>
      </c>
      <c r="T151" s="2"/>
      <c r="AE151" s="2">
        <v>349</v>
      </c>
    </row>
    <row r="152" spans="1:39" x14ac:dyDescent="0.2">
      <c r="A152" s="13">
        <v>145</v>
      </c>
      <c r="B152" s="22" t="s">
        <v>250</v>
      </c>
      <c r="C152" s="13" t="s">
        <v>61</v>
      </c>
      <c r="D152" s="23">
        <v>44853</v>
      </c>
      <c r="E152" s="13">
        <v>1</v>
      </c>
      <c r="F152" s="13"/>
      <c r="G152" s="13" t="s">
        <v>232</v>
      </c>
      <c r="H152" s="13">
        <v>568</v>
      </c>
      <c r="I152" s="23">
        <v>45804</v>
      </c>
      <c r="J152" s="13" t="s">
        <v>70</v>
      </c>
      <c r="K152" s="2" t="s">
        <v>546</v>
      </c>
      <c r="L152" s="2">
        <v>110</v>
      </c>
      <c r="M152" s="4">
        <v>46231</v>
      </c>
      <c r="AF152" s="4">
        <v>45804</v>
      </c>
      <c r="AG152" s="4">
        <v>46052</v>
      </c>
      <c r="AH152" s="47" t="s">
        <v>49</v>
      </c>
      <c r="AI152" s="48">
        <f>AG152+210</f>
        <v>46262</v>
      </c>
      <c r="AJ152" s="48">
        <f>AG152+277</f>
        <v>46329</v>
      </c>
      <c r="AK152" s="49" t="s">
        <v>70</v>
      </c>
    </row>
    <row r="153" spans="1:39" x14ac:dyDescent="0.2">
      <c r="A153" s="13">
        <v>146</v>
      </c>
      <c r="B153" s="22" t="s">
        <v>251</v>
      </c>
      <c r="C153" s="13" t="s">
        <v>61</v>
      </c>
      <c r="D153" s="23">
        <v>44862</v>
      </c>
      <c r="E153" s="13">
        <v>1</v>
      </c>
      <c r="F153" s="13"/>
      <c r="G153" s="13" t="s">
        <v>242</v>
      </c>
      <c r="H153" s="13">
        <v>617</v>
      </c>
      <c r="I153" s="23">
        <v>45837</v>
      </c>
      <c r="J153" s="13" t="s">
        <v>68</v>
      </c>
      <c r="K153" s="2" t="s">
        <v>546</v>
      </c>
      <c r="L153" s="2">
        <v>100</v>
      </c>
      <c r="M153" s="4">
        <v>46231</v>
      </c>
      <c r="AF153" s="4">
        <v>45837</v>
      </c>
      <c r="AG153" s="4">
        <v>45998</v>
      </c>
      <c r="AH153" s="47" t="s">
        <v>12</v>
      </c>
      <c r="AI153" s="48">
        <f>AG153+210</f>
        <v>46208</v>
      </c>
      <c r="AJ153" s="48">
        <f>AG153+277</f>
        <v>46275</v>
      </c>
      <c r="AK153" s="49" t="s">
        <v>68</v>
      </c>
    </row>
    <row r="154" spans="1:39" x14ac:dyDescent="0.2">
      <c r="A154" s="13">
        <v>147</v>
      </c>
      <c r="B154" s="22" t="s">
        <v>252</v>
      </c>
      <c r="C154" s="13" t="s">
        <v>61</v>
      </c>
      <c r="D154" s="23">
        <v>44882</v>
      </c>
      <c r="E154" s="13">
        <v>1</v>
      </c>
      <c r="F154" s="13"/>
      <c r="G154" s="13" t="s">
        <v>242</v>
      </c>
      <c r="H154" s="13">
        <v>603</v>
      </c>
      <c r="I154" s="23">
        <v>46128</v>
      </c>
      <c r="J154" s="13" t="s">
        <v>62</v>
      </c>
      <c r="K154" s="2" t="s">
        <v>546</v>
      </c>
      <c r="L154" s="2">
        <v>100</v>
      </c>
      <c r="M154" s="4">
        <v>46231</v>
      </c>
    </row>
    <row r="155" spans="1:39" x14ac:dyDescent="0.2">
      <c r="A155" s="13">
        <v>148</v>
      </c>
      <c r="B155" s="22" t="s">
        <v>253</v>
      </c>
      <c r="C155" s="13" t="s">
        <v>61</v>
      </c>
      <c r="D155" s="23">
        <v>44885</v>
      </c>
      <c r="E155" s="13">
        <v>1</v>
      </c>
      <c r="F155" s="13"/>
      <c r="G155" s="13" t="s">
        <v>238</v>
      </c>
      <c r="H155" s="13" t="s">
        <v>254</v>
      </c>
      <c r="I155" s="23">
        <v>45927</v>
      </c>
      <c r="J155" s="13" t="s">
        <v>68</v>
      </c>
      <c r="K155" s="2" t="s">
        <v>546</v>
      </c>
      <c r="L155" s="2">
        <v>110</v>
      </c>
      <c r="M155" s="4">
        <v>46231</v>
      </c>
      <c r="AF155" s="4">
        <v>45927</v>
      </c>
      <c r="AG155" s="4">
        <v>46052</v>
      </c>
      <c r="AH155" s="47" t="s">
        <v>554</v>
      </c>
      <c r="AI155" s="48">
        <f>AG155+210</f>
        <v>46262</v>
      </c>
      <c r="AJ155" s="48">
        <f>AG155+277</f>
        <v>46329</v>
      </c>
      <c r="AK155" s="49" t="s">
        <v>68</v>
      </c>
    </row>
    <row r="156" spans="1:39" x14ac:dyDescent="0.2">
      <c r="A156" s="13">
        <v>149</v>
      </c>
      <c r="B156" s="22" t="s">
        <v>41</v>
      </c>
      <c r="C156" s="13" t="s">
        <v>61</v>
      </c>
      <c r="D156" s="23">
        <v>44896</v>
      </c>
      <c r="E156" s="13">
        <v>2</v>
      </c>
      <c r="F156" s="13"/>
      <c r="G156" s="13" t="s">
        <v>235</v>
      </c>
      <c r="H156" s="13" t="s">
        <v>255</v>
      </c>
      <c r="I156" s="23">
        <v>46257</v>
      </c>
      <c r="J156" s="13" t="s">
        <v>62</v>
      </c>
      <c r="K156" s="2" t="s">
        <v>546</v>
      </c>
      <c r="L156" s="2">
        <v>110</v>
      </c>
      <c r="M156" s="4">
        <v>46231</v>
      </c>
      <c r="U156" s="2" t="s">
        <v>25</v>
      </c>
      <c r="V156" s="4">
        <v>45894</v>
      </c>
      <c r="W156" s="4">
        <v>45986</v>
      </c>
      <c r="X156" s="5">
        <v>46257</v>
      </c>
      <c r="Y156" s="6">
        <v>0.27083333333333331</v>
      </c>
      <c r="Z156" s="2" t="s">
        <v>14</v>
      </c>
      <c r="AA156" s="2" t="s">
        <v>15</v>
      </c>
      <c r="AB156" s="6">
        <v>0.79166666666666663</v>
      </c>
      <c r="AC156" s="2" t="s">
        <v>21</v>
      </c>
      <c r="AD156" s="2">
        <f>X156-W156</f>
        <v>271</v>
      </c>
      <c r="AE156" s="2">
        <f>X156-V156</f>
        <v>363</v>
      </c>
      <c r="AM156">
        <v>28</v>
      </c>
    </row>
    <row r="157" spans="1:39" x14ac:dyDescent="0.2">
      <c r="A157" s="13">
        <v>150</v>
      </c>
      <c r="B157" s="22" t="s">
        <v>256</v>
      </c>
      <c r="C157" s="13" t="s">
        <v>61</v>
      </c>
      <c r="D157" s="23">
        <v>44916</v>
      </c>
      <c r="E157" s="13">
        <v>1</v>
      </c>
      <c r="F157" s="13"/>
      <c r="G157" s="13" t="s">
        <v>186</v>
      </c>
      <c r="H157" s="13" t="s">
        <v>65</v>
      </c>
      <c r="I157" s="23">
        <v>45974</v>
      </c>
      <c r="J157" s="13" t="s">
        <v>68</v>
      </c>
      <c r="K157" s="2" t="s">
        <v>546</v>
      </c>
      <c r="L157" s="2">
        <v>90</v>
      </c>
      <c r="M157" s="4">
        <v>46231</v>
      </c>
      <c r="AF157" s="4">
        <v>45974</v>
      </c>
      <c r="AG157" s="4">
        <v>46097</v>
      </c>
      <c r="AH157" s="47" t="s">
        <v>528</v>
      </c>
      <c r="AI157" s="48">
        <f>AG157+210</f>
        <v>46307</v>
      </c>
      <c r="AJ157" s="48">
        <f>AG157+277</f>
        <v>46374</v>
      </c>
      <c r="AK157" s="49" t="s">
        <v>68</v>
      </c>
    </row>
    <row r="158" spans="1:39" x14ac:dyDescent="0.2">
      <c r="A158" s="13">
        <v>151</v>
      </c>
      <c r="B158" s="22" t="s">
        <v>257</v>
      </c>
      <c r="C158" s="13" t="s">
        <v>61</v>
      </c>
      <c r="D158" s="23">
        <v>44934</v>
      </c>
      <c r="E158" s="13"/>
      <c r="F158" s="13"/>
      <c r="G158" s="13" t="s">
        <v>258</v>
      </c>
      <c r="H158" s="13" t="s">
        <v>35</v>
      </c>
      <c r="I158" s="13"/>
      <c r="J158" s="13" t="s">
        <v>259</v>
      </c>
      <c r="K158" s="2" t="s">
        <v>546</v>
      </c>
      <c r="L158" s="2">
        <v>80</v>
      </c>
      <c r="M158" s="4">
        <v>46231</v>
      </c>
    </row>
    <row r="159" spans="1:39" x14ac:dyDescent="0.2">
      <c r="A159" s="13">
        <v>152</v>
      </c>
      <c r="B159" s="22" t="s">
        <v>260</v>
      </c>
      <c r="C159" s="13" t="s">
        <v>61</v>
      </c>
      <c r="D159" s="23">
        <v>44948</v>
      </c>
      <c r="E159" s="13"/>
      <c r="F159" s="13"/>
      <c r="G159" s="13" t="s">
        <v>261</v>
      </c>
      <c r="H159" s="13">
        <v>243</v>
      </c>
      <c r="I159" s="13"/>
      <c r="J159" s="13" t="s">
        <v>262</v>
      </c>
      <c r="K159" s="2" t="s">
        <v>546</v>
      </c>
      <c r="L159" s="2">
        <v>100</v>
      </c>
      <c r="M159" s="4">
        <v>46231</v>
      </c>
      <c r="AF159" s="2" t="s">
        <v>13</v>
      </c>
      <c r="AG159" s="4">
        <v>46064</v>
      </c>
      <c r="AH159" s="47" t="s">
        <v>537</v>
      </c>
      <c r="AI159" s="48">
        <f>AG159+210</f>
        <v>46274</v>
      </c>
      <c r="AJ159" s="48">
        <f>AG159+277</f>
        <v>46341</v>
      </c>
      <c r="AK159" s="49" t="s">
        <v>262</v>
      </c>
    </row>
    <row r="160" spans="1:39" x14ac:dyDescent="0.2">
      <c r="A160" s="13">
        <v>153</v>
      </c>
      <c r="B160" s="22" t="s">
        <v>263</v>
      </c>
      <c r="C160" s="13" t="s">
        <v>61</v>
      </c>
      <c r="D160" s="23">
        <v>44972</v>
      </c>
      <c r="E160" s="13">
        <v>1</v>
      </c>
      <c r="F160" s="13"/>
      <c r="G160" s="13" t="s">
        <v>264</v>
      </c>
      <c r="H160" s="13" t="s">
        <v>152</v>
      </c>
      <c r="I160" s="23">
        <v>45979</v>
      </c>
      <c r="J160" s="13" t="s">
        <v>68</v>
      </c>
      <c r="K160" s="2" t="s">
        <v>546</v>
      </c>
      <c r="L160" s="2">
        <v>90</v>
      </c>
      <c r="M160" s="4">
        <v>46231</v>
      </c>
      <c r="AF160" s="4">
        <v>45979</v>
      </c>
      <c r="AG160" s="4">
        <v>46057</v>
      </c>
      <c r="AH160" s="47" t="s">
        <v>528</v>
      </c>
      <c r="AI160" s="48">
        <f>AG160+210</f>
        <v>46267</v>
      </c>
      <c r="AJ160" s="48">
        <f>AG160+277</f>
        <v>46334</v>
      </c>
      <c r="AK160" s="49" t="s">
        <v>68</v>
      </c>
    </row>
    <row r="161" spans="1:37" x14ac:dyDescent="0.2">
      <c r="A161" s="13">
        <v>154</v>
      </c>
      <c r="B161" s="22" t="s">
        <v>265</v>
      </c>
      <c r="C161" s="13" t="s">
        <v>61</v>
      </c>
      <c r="D161" s="23">
        <v>44982</v>
      </c>
      <c r="E161" s="13">
        <v>1</v>
      </c>
      <c r="F161" s="13"/>
      <c r="G161" s="13" t="s">
        <v>266</v>
      </c>
      <c r="H161" s="13" t="s">
        <v>267</v>
      </c>
      <c r="I161" s="23">
        <v>46135</v>
      </c>
      <c r="J161" s="13" t="s">
        <v>70</v>
      </c>
      <c r="K161" s="2" t="s">
        <v>546</v>
      </c>
      <c r="L161" s="2">
        <v>110</v>
      </c>
      <c r="M161" s="4">
        <v>46231</v>
      </c>
      <c r="N161" s="4">
        <v>46135</v>
      </c>
      <c r="O161" s="4">
        <v>46231</v>
      </c>
      <c r="P161" s="4">
        <v>46251</v>
      </c>
      <c r="Q161" s="2" t="s">
        <v>574</v>
      </c>
      <c r="R161" s="2">
        <v>2</v>
      </c>
      <c r="S161" s="2" t="s">
        <v>570</v>
      </c>
      <c r="T161" s="2"/>
      <c r="AE161" s="2">
        <v>356</v>
      </c>
    </row>
    <row r="162" spans="1:37" x14ac:dyDescent="0.2">
      <c r="A162" s="13">
        <v>155</v>
      </c>
      <c r="B162" s="22" t="s">
        <v>268</v>
      </c>
      <c r="C162" s="13" t="s">
        <v>61</v>
      </c>
      <c r="D162" s="23">
        <v>45003</v>
      </c>
      <c r="E162" s="13">
        <v>1</v>
      </c>
      <c r="F162" s="13"/>
      <c r="G162" s="13" t="s">
        <v>264</v>
      </c>
      <c r="H162" s="13">
        <v>232</v>
      </c>
      <c r="I162" s="41">
        <v>46003</v>
      </c>
      <c r="J162" s="13" t="s">
        <v>62</v>
      </c>
      <c r="K162" s="2" t="s">
        <v>546</v>
      </c>
      <c r="L162" s="2">
        <v>100</v>
      </c>
      <c r="M162" s="4">
        <v>46231</v>
      </c>
    </row>
    <row r="163" spans="1:37" x14ac:dyDescent="0.2">
      <c r="A163" s="13">
        <v>156</v>
      </c>
      <c r="B163" s="22" t="s">
        <v>269</v>
      </c>
      <c r="C163" s="13" t="s">
        <v>63</v>
      </c>
      <c r="D163" s="23">
        <v>45035</v>
      </c>
      <c r="E163" s="13">
        <v>1</v>
      </c>
      <c r="F163" s="13"/>
      <c r="G163" s="13" t="s">
        <v>270</v>
      </c>
      <c r="H163" s="13" t="s">
        <v>271</v>
      </c>
      <c r="I163" s="23">
        <v>46065</v>
      </c>
      <c r="J163" s="13" t="s">
        <v>62</v>
      </c>
      <c r="K163" s="2" t="s">
        <v>546</v>
      </c>
      <c r="L163" s="2">
        <v>100</v>
      </c>
      <c r="M163" s="4">
        <v>46231</v>
      </c>
    </row>
    <row r="164" spans="1:37" x14ac:dyDescent="0.2">
      <c r="A164" s="13">
        <v>157</v>
      </c>
      <c r="B164" s="22" t="s">
        <v>272</v>
      </c>
      <c r="C164" s="13" t="s">
        <v>61</v>
      </c>
      <c r="D164" s="23">
        <v>45042</v>
      </c>
      <c r="E164" s="13">
        <v>1</v>
      </c>
      <c r="F164" s="13"/>
      <c r="G164" s="13" t="s">
        <v>273</v>
      </c>
      <c r="H164" s="13" t="s">
        <v>274</v>
      </c>
      <c r="I164" s="23">
        <v>46004</v>
      </c>
      <c r="J164" s="13" t="s">
        <v>62</v>
      </c>
      <c r="K164" s="2" t="s">
        <v>546</v>
      </c>
      <c r="L164" s="2">
        <v>100</v>
      </c>
      <c r="M164" s="4">
        <v>46231</v>
      </c>
    </row>
    <row r="165" spans="1:37" x14ac:dyDescent="0.2">
      <c r="A165" s="13">
        <v>158</v>
      </c>
      <c r="B165" s="22" t="s">
        <v>275</v>
      </c>
      <c r="C165" s="13" t="s">
        <v>61</v>
      </c>
      <c r="D165" s="23">
        <v>45044</v>
      </c>
      <c r="E165" s="13">
        <v>1</v>
      </c>
      <c r="F165" s="13"/>
      <c r="G165" s="13" t="s">
        <v>276</v>
      </c>
      <c r="H165" s="13">
        <v>251</v>
      </c>
      <c r="I165" s="23">
        <v>46021</v>
      </c>
      <c r="J165" s="13" t="s">
        <v>70</v>
      </c>
      <c r="K165" s="2" t="s">
        <v>546</v>
      </c>
      <c r="L165" s="2">
        <v>100</v>
      </c>
      <c r="M165" s="4">
        <v>46231</v>
      </c>
      <c r="AF165" s="52">
        <v>46021</v>
      </c>
      <c r="AG165" s="52">
        <v>46188</v>
      </c>
      <c r="AH165" s="4" t="s">
        <v>12</v>
      </c>
      <c r="AI165" s="48">
        <f>AG165+210</f>
        <v>46398</v>
      </c>
      <c r="AJ165" s="48">
        <f>AG165+277</f>
        <v>46465</v>
      </c>
      <c r="AK165" s="50" t="s">
        <v>70</v>
      </c>
    </row>
    <row r="166" spans="1:37" x14ac:dyDescent="0.2">
      <c r="A166" s="13">
        <v>159</v>
      </c>
      <c r="B166" s="22" t="s">
        <v>277</v>
      </c>
      <c r="C166" s="13" t="s">
        <v>61</v>
      </c>
      <c r="D166" s="23">
        <v>45046</v>
      </c>
      <c r="E166" s="13">
        <v>1</v>
      </c>
      <c r="F166" s="13"/>
      <c r="G166" s="13" t="s">
        <v>278</v>
      </c>
      <c r="H166" s="13" t="s">
        <v>279</v>
      </c>
      <c r="I166" s="23">
        <v>46144</v>
      </c>
      <c r="J166" s="13" t="s">
        <v>62</v>
      </c>
      <c r="K166" s="2" t="s">
        <v>546</v>
      </c>
      <c r="L166" s="2">
        <v>110</v>
      </c>
      <c r="M166" s="4">
        <v>46231</v>
      </c>
    </row>
    <row r="167" spans="1:37" x14ac:dyDescent="0.2">
      <c r="A167" s="13">
        <v>160</v>
      </c>
      <c r="B167" s="22" t="s">
        <v>280</v>
      </c>
      <c r="C167" s="13" t="s">
        <v>61</v>
      </c>
      <c r="D167" s="23">
        <v>45057</v>
      </c>
      <c r="E167" s="13">
        <v>1</v>
      </c>
      <c r="F167" s="13"/>
      <c r="G167" s="13" t="s">
        <v>264</v>
      </c>
      <c r="H167" s="13" t="s">
        <v>164</v>
      </c>
      <c r="I167" s="23">
        <v>46097</v>
      </c>
      <c r="J167" s="13" t="s">
        <v>62</v>
      </c>
      <c r="K167" s="2" t="s">
        <v>546</v>
      </c>
      <c r="L167" s="2">
        <v>100</v>
      </c>
      <c r="M167" s="4">
        <v>46231</v>
      </c>
      <c r="N167" s="4">
        <v>46097</v>
      </c>
      <c r="O167" s="4">
        <v>46229</v>
      </c>
      <c r="P167" s="4">
        <v>46251</v>
      </c>
      <c r="Q167" s="2" t="s">
        <v>574</v>
      </c>
      <c r="R167" s="2">
        <v>3</v>
      </c>
      <c r="S167" s="2" t="s">
        <v>570</v>
      </c>
      <c r="T167" s="2"/>
      <c r="AE167" s="2">
        <v>354</v>
      </c>
    </row>
    <row r="168" spans="1:37" x14ac:dyDescent="0.2">
      <c r="A168" s="13">
        <v>161</v>
      </c>
      <c r="B168" s="22" t="s">
        <v>281</v>
      </c>
      <c r="C168" s="13" t="s">
        <v>61</v>
      </c>
      <c r="D168" s="23">
        <v>45070</v>
      </c>
      <c r="E168" s="13">
        <v>1</v>
      </c>
      <c r="F168" s="13"/>
      <c r="G168" s="13" t="s">
        <v>276</v>
      </c>
      <c r="H168" s="13">
        <v>546</v>
      </c>
      <c r="I168" s="23">
        <v>45994</v>
      </c>
      <c r="J168" s="13" t="s">
        <v>62</v>
      </c>
      <c r="K168" s="2" t="s">
        <v>546</v>
      </c>
      <c r="L168" s="2">
        <v>110</v>
      </c>
      <c r="M168" s="4">
        <v>46231</v>
      </c>
      <c r="AF168" s="4">
        <v>45994</v>
      </c>
      <c r="AG168" s="4">
        <v>46086</v>
      </c>
      <c r="AH168" s="47" t="s">
        <v>556</v>
      </c>
      <c r="AI168" s="48">
        <f>AG168+210</f>
        <v>46296</v>
      </c>
      <c r="AJ168" s="48">
        <f>AG168+277</f>
        <v>46363</v>
      </c>
      <c r="AK168" s="49" t="s">
        <v>70</v>
      </c>
    </row>
    <row r="169" spans="1:37" x14ac:dyDescent="0.2">
      <c r="A169" s="13">
        <v>162</v>
      </c>
      <c r="B169" s="22" t="s">
        <v>282</v>
      </c>
      <c r="C169" s="13" t="s">
        <v>61</v>
      </c>
      <c r="D169" s="23">
        <v>45073</v>
      </c>
      <c r="E169" s="13">
        <v>1</v>
      </c>
      <c r="F169" s="13"/>
      <c r="G169" s="13" t="s">
        <v>266</v>
      </c>
      <c r="H169" s="13" t="s">
        <v>283</v>
      </c>
      <c r="I169" s="23">
        <v>45996</v>
      </c>
      <c r="J169" s="13" t="s">
        <v>70</v>
      </c>
      <c r="K169" s="2" t="s">
        <v>546</v>
      </c>
      <c r="L169" s="2">
        <v>100</v>
      </c>
      <c r="M169" s="4">
        <v>46231</v>
      </c>
      <c r="AF169" s="4">
        <v>45996</v>
      </c>
      <c r="AG169" s="4">
        <v>46091</v>
      </c>
      <c r="AH169" s="47" t="s">
        <v>528</v>
      </c>
      <c r="AI169" s="48">
        <f>AG169+210</f>
        <v>46301</v>
      </c>
      <c r="AJ169" s="48">
        <f>AG169+277</f>
        <v>46368</v>
      </c>
      <c r="AK169" s="49" t="s">
        <v>70</v>
      </c>
    </row>
    <row r="170" spans="1:37" x14ac:dyDescent="0.2">
      <c r="A170" s="13">
        <v>163</v>
      </c>
      <c r="B170" s="22" t="s">
        <v>284</v>
      </c>
      <c r="C170" s="13" t="s">
        <v>61</v>
      </c>
      <c r="D170" s="23">
        <v>45077</v>
      </c>
      <c r="E170" s="13">
        <v>1</v>
      </c>
      <c r="F170" s="13"/>
      <c r="G170" s="13" t="s">
        <v>122</v>
      </c>
      <c r="H170" s="13">
        <v>33</v>
      </c>
      <c r="I170" s="23">
        <v>46050</v>
      </c>
      <c r="J170" s="13" t="s">
        <v>62</v>
      </c>
      <c r="K170" s="2" t="s">
        <v>546</v>
      </c>
      <c r="L170" s="2">
        <v>100</v>
      </c>
      <c r="M170" s="4">
        <v>46231</v>
      </c>
      <c r="N170" s="4">
        <v>46050</v>
      </c>
      <c r="O170" s="4">
        <v>46233</v>
      </c>
      <c r="P170" s="4">
        <v>46257</v>
      </c>
      <c r="Q170" s="2" t="s">
        <v>49</v>
      </c>
      <c r="R170" s="2">
        <v>5</v>
      </c>
      <c r="S170" s="2" t="s">
        <v>570</v>
      </c>
      <c r="T170" s="2"/>
      <c r="AE170" s="2">
        <v>367</v>
      </c>
    </row>
    <row r="171" spans="1:37" x14ac:dyDescent="0.2">
      <c r="A171" s="13">
        <v>164</v>
      </c>
      <c r="B171" s="22" t="s">
        <v>285</v>
      </c>
      <c r="C171" s="13" t="s">
        <v>61</v>
      </c>
      <c r="D171" s="23">
        <v>45079</v>
      </c>
      <c r="E171" s="13">
        <v>1</v>
      </c>
      <c r="F171" s="13"/>
      <c r="G171" s="13" t="s">
        <v>278</v>
      </c>
      <c r="H171" s="13">
        <v>707</v>
      </c>
      <c r="I171" s="23">
        <v>46001</v>
      </c>
      <c r="J171" s="13" t="s">
        <v>70</v>
      </c>
      <c r="K171" s="2" t="s">
        <v>546</v>
      </c>
      <c r="L171" s="2">
        <v>110</v>
      </c>
      <c r="M171" s="4">
        <v>46231</v>
      </c>
      <c r="AF171" s="4">
        <v>46001</v>
      </c>
      <c r="AG171" s="4">
        <v>46092</v>
      </c>
      <c r="AH171" s="47" t="s">
        <v>554</v>
      </c>
      <c r="AI171" s="48">
        <f>AG171+210</f>
        <v>46302</v>
      </c>
      <c r="AJ171" s="48">
        <f>AG171+277</f>
        <v>46369</v>
      </c>
      <c r="AK171" s="49" t="s">
        <v>70</v>
      </c>
    </row>
    <row r="172" spans="1:37" x14ac:dyDescent="0.2">
      <c r="A172" s="13">
        <v>165</v>
      </c>
      <c r="B172" s="22" t="s">
        <v>286</v>
      </c>
      <c r="C172" s="13" t="s">
        <v>61</v>
      </c>
      <c r="D172" s="23">
        <v>45089</v>
      </c>
      <c r="E172" s="13"/>
      <c r="F172" s="13"/>
      <c r="G172" s="13" t="s">
        <v>122</v>
      </c>
      <c r="H172" s="13" t="s">
        <v>76</v>
      </c>
      <c r="I172" s="13"/>
      <c r="J172" s="13" t="s">
        <v>262</v>
      </c>
      <c r="K172" s="2" t="s">
        <v>546</v>
      </c>
      <c r="L172" s="2">
        <v>90</v>
      </c>
      <c r="M172" s="4">
        <v>46231</v>
      </c>
      <c r="AF172" s="2" t="s">
        <v>13</v>
      </c>
      <c r="AG172" s="4">
        <v>46022</v>
      </c>
      <c r="AH172" s="47" t="s">
        <v>528</v>
      </c>
      <c r="AI172" s="48">
        <f>AG172+210</f>
        <v>46232</v>
      </c>
      <c r="AJ172" s="48">
        <f>AG172+277</f>
        <v>46299</v>
      </c>
      <c r="AK172" s="49" t="s">
        <v>262</v>
      </c>
    </row>
    <row r="173" spans="1:37" x14ac:dyDescent="0.2">
      <c r="A173" s="13">
        <v>166</v>
      </c>
      <c r="B173" s="22" t="s">
        <v>287</v>
      </c>
      <c r="C173" s="13" t="s">
        <v>18</v>
      </c>
      <c r="D173" s="23">
        <v>45109</v>
      </c>
      <c r="E173" s="13">
        <v>1</v>
      </c>
      <c r="F173" s="13"/>
      <c r="G173" s="13" t="s">
        <v>122</v>
      </c>
      <c r="H173" s="13" t="s">
        <v>81</v>
      </c>
      <c r="I173" s="41">
        <v>45973</v>
      </c>
      <c r="J173" s="13" t="s">
        <v>70</v>
      </c>
      <c r="K173" s="2" t="s">
        <v>546</v>
      </c>
      <c r="L173" s="2">
        <v>100</v>
      </c>
      <c r="M173" s="4">
        <v>46231</v>
      </c>
      <c r="AF173" s="4">
        <v>45973</v>
      </c>
      <c r="AG173" s="4">
        <v>46114</v>
      </c>
      <c r="AH173" s="4" t="s">
        <v>554</v>
      </c>
      <c r="AI173" s="48">
        <f>AG173+210</f>
        <v>46324</v>
      </c>
      <c r="AJ173" s="48">
        <f>AG173+277</f>
        <v>46391</v>
      </c>
      <c r="AK173" s="49" t="s">
        <v>70</v>
      </c>
    </row>
    <row r="174" spans="1:37" x14ac:dyDescent="0.2">
      <c r="A174" s="13">
        <v>167</v>
      </c>
      <c r="B174" s="22" t="s">
        <v>288</v>
      </c>
      <c r="C174" s="13" t="s">
        <v>63</v>
      </c>
      <c r="D174" s="23">
        <v>45115</v>
      </c>
      <c r="E174" s="13">
        <v>1</v>
      </c>
      <c r="F174" s="13"/>
      <c r="G174" s="13" t="s">
        <v>270</v>
      </c>
      <c r="H174" s="13">
        <v>583</v>
      </c>
      <c r="I174" s="41">
        <v>46086</v>
      </c>
      <c r="J174" s="13" t="s">
        <v>62</v>
      </c>
      <c r="K174" s="2" t="s">
        <v>546</v>
      </c>
      <c r="L174" s="2">
        <v>100</v>
      </c>
      <c r="M174" s="4">
        <v>46231</v>
      </c>
      <c r="N174" s="4">
        <v>46086</v>
      </c>
      <c r="O174" s="4">
        <v>46175</v>
      </c>
      <c r="P174" s="4">
        <v>46238</v>
      </c>
      <c r="Q174" s="2" t="s">
        <v>49</v>
      </c>
      <c r="R174" s="2">
        <v>2</v>
      </c>
      <c r="S174" s="2" t="s">
        <v>570</v>
      </c>
      <c r="T174" s="2"/>
      <c r="AE174" s="2">
        <v>339</v>
      </c>
    </row>
    <row r="175" spans="1:37" x14ac:dyDescent="0.2">
      <c r="A175" s="13">
        <v>168</v>
      </c>
      <c r="B175" s="22" t="s">
        <v>289</v>
      </c>
      <c r="C175" s="13" t="s">
        <v>18</v>
      </c>
      <c r="D175" s="23">
        <v>45123</v>
      </c>
      <c r="E175" s="13">
        <v>1</v>
      </c>
      <c r="F175" s="13"/>
      <c r="G175" s="13" t="s">
        <v>266</v>
      </c>
      <c r="H175" s="13" t="s">
        <v>290</v>
      </c>
      <c r="I175" s="41">
        <v>46142</v>
      </c>
      <c r="J175" s="13" t="s">
        <v>62</v>
      </c>
      <c r="K175" s="2" t="s">
        <v>546</v>
      </c>
      <c r="L175" s="2">
        <v>100</v>
      </c>
      <c r="M175" s="4">
        <v>46231</v>
      </c>
      <c r="AF175" s="4">
        <v>46142</v>
      </c>
      <c r="AG175" s="4">
        <v>46206</v>
      </c>
      <c r="AH175" s="4" t="s">
        <v>49</v>
      </c>
      <c r="AI175" s="48">
        <f>AG175+210</f>
        <v>46416</v>
      </c>
      <c r="AJ175" s="48">
        <f>AG175+277</f>
        <v>46483</v>
      </c>
      <c r="AK175" s="50" t="s">
        <v>70</v>
      </c>
    </row>
    <row r="176" spans="1:37" x14ac:dyDescent="0.2">
      <c r="A176" s="13">
        <v>169</v>
      </c>
      <c r="B176" s="22" t="s">
        <v>291</v>
      </c>
      <c r="C176" s="13" t="s">
        <v>18</v>
      </c>
      <c r="D176" s="23">
        <v>45129</v>
      </c>
      <c r="E176" s="13">
        <v>1</v>
      </c>
      <c r="F176" s="13"/>
      <c r="G176" s="13" t="s">
        <v>273</v>
      </c>
      <c r="H176" s="13" t="s">
        <v>190</v>
      </c>
      <c r="I176" s="41">
        <v>46111</v>
      </c>
      <c r="J176" s="13" t="s">
        <v>62</v>
      </c>
      <c r="K176" s="2" t="s">
        <v>546</v>
      </c>
      <c r="L176" s="2">
        <v>100</v>
      </c>
      <c r="M176" s="4">
        <v>46231</v>
      </c>
    </row>
    <row r="177" spans="1:37" x14ac:dyDescent="0.2">
      <c r="A177" s="13">
        <v>170</v>
      </c>
      <c r="B177" s="22" t="s">
        <v>292</v>
      </c>
      <c r="C177" s="13" t="s">
        <v>18</v>
      </c>
      <c r="D177" s="23">
        <v>45131</v>
      </c>
      <c r="E177" s="13">
        <v>1</v>
      </c>
      <c r="F177" s="13"/>
      <c r="G177" s="13" t="s">
        <v>278</v>
      </c>
      <c r="H177" s="13" t="s">
        <v>113</v>
      </c>
      <c r="I177" s="41">
        <v>46156</v>
      </c>
      <c r="J177" s="13" t="s">
        <v>62</v>
      </c>
      <c r="K177" s="2" t="s">
        <v>546</v>
      </c>
      <c r="L177" s="2">
        <v>100</v>
      </c>
      <c r="M177" s="4">
        <v>46231</v>
      </c>
    </row>
    <row r="178" spans="1:37" x14ac:dyDescent="0.2">
      <c r="A178" s="13">
        <v>171</v>
      </c>
      <c r="B178" s="22" t="s">
        <v>293</v>
      </c>
      <c r="C178" s="13" t="s">
        <v>61</v>
      </c>
      <c r="D178" s="23">
        <v>45133</v>
      </c>
      <c r="E178" s="13">
        <v>1</v>
      </c>
      <c r="F178" s="13"/>
      <c r="G178" s="13" t="s">
        <v>273</v>
      </c>
      <c r="H178" s="13">
        <v>256</v>
      </c>
      <c r="I178" s="41">
        <v>46026</v>
      </c>
      <c r="J178" s="13" t="s">
        <v>70</v>
      </c>
      <c r="K178" s="2" t="s">
        <v>546</v>
      </c>
      <c r="L178" s="2">
        <v>100</v>
      </c>
      <c r="M178" s="4">
        <v>46231</v>
      </c>
      <c r="AF178" s="4">
        <v>46026</v>
      </c>
      <c r="AG178" s="4">
        <v>46141</v>
      </c>
      <c r="AH178" s="4" t="s">
        <v>12</v>
      </c>
      <c r="AI178" s="48">
        <f>AG178+210</f>
        <v>46351</v>
      </c>
      <c r="AJ178" s="48">
        <f>AG178+277</f>
        <v>46418</v>
      </c>
      <c r="AK178" s="49" t="s">
        <v>70</v>
      </c>
    </row>
    <row r="179" spans="1:37" x14ac:dyDescent="0.2">
      <c r="A179" s="13">
        <v>172</v>
      </c>
      <c r="B179" s="22" t="s">
        <v>294</v>
      </c>
      <c r="C179" s="13" t="s">
        <v>18</v>
      </c>
      <c r="D179" s="23">
        <v>45135</v>
      </c>
      <c r="E179" s="13">
        <v>1</v>
      </c>
      <c r="F179" s="13"/>
      <c r="G179" s="13" t="s">
        <v>295</v>
      </c>
      <c r="H179" s="13">
        <v>252</v>
      </c>
      <c r="I179" s="41">
        <v>46147</v>
      </c>
      <c r="J179" s="13" t="s">
        <v>62</v>
      </c>
      <c r="K179" s="2" t="s">
        <v>546</v>
      </c>
      <c r="L179" s="2">
        <v>100</v>
      </c>
      <c r="M179" s="4">
        <v>46231</v>
      </c>
    </row>
    <row r="180" spans="1:37" x14ac:dyDescent="0.2">
      <c r="A180" s="13">
        <v>173</v>
      </c>
      <c r="B180" s="22" t="s">
        <v>296</v>
      </c>
      <c r="C180" s="13" t="s">
        <v>18</v>
      </c>
      <c r="D180" s="23">
        <v>45142</v>
      </c>
      <c r="E180" s="13">
        <v>1</v>
      </c>
      <c r="F180" s="13"/>
      <c r="G180" s="13" t="s">
        <v>278</v>
      </c>
      <c r="H180" s="13" t="s">
        <v>110</v>
      </c>
      <c r="I180" s="41">
        <v>46148</v>
      </c>
      <c r="J180" s="13" t="s">
        <v>62</v>
      </c>
      <c r="K180" s="2" t="s">
        <v>546</v>
      </c>
      <c r="L180" s="2">
        <v>110</v>
      </c>
      <c r="M180" s="4">
        <v>46231</v>
      </c>
      <c r="N180" s="4">
        <v>46148</v>
      </c>
      <c r="O180" s="2"/>
      <c r="P180" s="4">
        <v>46252</v>
      </c>
      <c r="Q180" s="2" t="s">
        <v>574</v>
      </c>
      <c r="R180" s="2">
        <v>1</v>
      </c>
      <c r="S180" s="2" t="s">
        <v>570</v>
      </c>
      <c r="T180" s="2"/>
      <c r="AE180" s="2">
        <v>358</v>
      </c>
    </row>
    <row r="181" spans="1:37" x14ac:dyDescent="0.2">
      <c r="A181" s="13">
        <v>174</v>
      </c>
      <c r="B181" s="22" t="s">
        <v>297</v>
      </c>
      <c r="C181" s="13" t="s">
        <v>18</v>
      </c>
      <c r="D181" s="23">
        <v>45144</v>
      </c>
      <c r="E181" s="13">
        <v>1</v>
      </c>
      <c r="F181" s="13"/>
      <c r="G181" s="13" t="s">
        <v>273</v>
      </c>
      <c r="H181" s="13">
        <v>70</v>
      </c>
      <c r="I181" s="41">
        <v>46147</v>
      </c>
      <c r="J181" s="13" t="s">
        <v>62</v>
      </c>
      <c r="K181" s="2" t="s">
        <v>546</v>
      </c>
      <c r="L181" s="2">
        <v>110</v>
      </c>
      <c r="M181" s="4">
        <v>46231</v>
      </c>
    </row>
    <row r="182" spans="1:37" x14ac:dyDescent="0.2">
      <c r="A182" s="13">
        <v>175</v>
      </c>
      <c r="B182" s="22" t="s">
        <v>298</v>
      </c>
      <c r="C182" s="13" t="s">
        <v>18</v>
      </c>
      <c r="D182" s="23">
        <v>45146</v>
      </c>
      <c r="E182" s="13">
        <v>1</v>
      </c>
      <c r="F182" s="13"/>
      <c r="G182" s="13" t="s">
        <v>278</v>
      </c>
      <c r="H182" s="13" t="s">
        <v>299</v>
      </c>
      <c r="I182" s="41">
        <v>46228</v>
      </c>
      <c r="J182" s="13" t="s">
        <v>62</v>
      </c>
      <c r="K182" s="2" t="s">
        <v>546</v>
      </c>
      <c r="L182" s="2">
        <v>100</v>
      </c>
      <c r="M182" s="4">
        <v>46231</v>
      </c>
    </row>
    <row r="183" spans="1:37" x14ac:dyDescent="0.2">
      <c r="A183" s="13">
        <v>176</v>
      </c>
      <c r="B183" s="22" t="s">
        <v>300</v>
      </c>
      <c r="C183" s="13" t="s">
        <v>18</v>
      </c>
      <c r="D183" s="23">
        <v>45155</v>
      </c>
      <c r="E183" s="13">
        <v>1</v>
      </c>
      <c r="F183" s="13"/>
      <c r="G183" s="13" t="s">
        <v>266</v>
      </c>
      <c r="H183" s="13">
        <v>573</v>
      </c>
      <c r="I183" s="41">
        <v>46078</v>
      </c>
      <c r="J183" s="13" t="s">
        <v>62</v>
      </c>
      <c r="K183" s="2" t="s">
        <v>546</v>
      </c>
      <c r="L183" s="2">
        <v>100</v>
      </c>
      <c r="M183" s="4">
        <v>46231</v>
      </c>
      <c r="N183" s="4">
        <v>46078</v>
      </c>
      <c r="O183" s="4">
        <v>46237</v>
      </c>
      <c r="P183" s="4">
        <v>46258</v>
      </c>
      <c r="Q183" s="2" t="s">
        <v>49</v>
      </c>
      <c r="R183" s="2">
        <v>4</v>
      </c>
      <c r="S183" s="2" t="s">
        <v>570</v>
      </c>
      <c r="T183" s="2" t="s">
        <v>581</v>
      </c>
      <c r="AE183" s="2">
        <v>369</v>
      </c>
    </row>
    <row r="184" spans="1:37" x14ac:dyDescent="0.2">
      <c r="A184" s="13">
        <v>177</v>
      </c>
      <c r="B184" s="22" t="s">
        <v>301</v>
      </c>
      <c r="C184" s="13" t="s">
        <v>18</v>
      </c>
      <c r="D184" s="23">
        <v>45180</v>
      </c>
      <c r="E184" s="13">
        <v>1</v>
      </c>
      <c r="F184" s="13"/>
      <c r="G184" s="13" t="s">
        <v>278</v>
      </c>
      <c r="H184" s="13">
        <v>547</v>
      </c>
      <c r="I184" s="23">
        <v>46185</v>
      </c>
      <c r="J184" s="13" t="s">
        <v>62</v>
      </c>
      <c r="K184" s="2" t="s">
        <v>546</v>
      </c>
      <c r="L184" s="2">
        <v>100</v>
      </c>
      <c r="M184" s="4">
        <v>46231</v>
      </c>
      <c r="N184" s="52">
        <v>46185</v>
      </c>
      <c r="O184" s="51"/>
      <c r="P184" s="52">
        <v>46265</v>
      </c>
      <c r="Q184" s="2" t="s">
        <v>577</v>
      </c>
      <c r="R184" s="2">
        <v>1</v>
      </c>
      <c r="S184" s="2" t="s">
        <v>570</v>
      </c>
      <c r="T184" s="51"/>
      <c r="AE184" s="2">
        <v>386</v>
      </c>
    </row>
    <row r="185" spans="1:37" x14ac:dyDescent="0.2">
      <c r="A185" s="13">
        <v>178</v>
      </c>
      <c r="B185" s="22" t="s">
        <v>302</v>
      </c>
      <c r="C185" s="13" t="s">
        <v>18</v>
      </c>
      <c r="D185" s="23">
        <v>45184</v>
      </c>
      <c r="E185" s="13">
        <v>1</v>
      </c>
      <c r="F185" s="13"/>
      <c r="G185" s="13" t="s">
        <v>303</v>
      </c>
      <c r="H185" s="13">
        <v>261</v>
      </c>
      <c r="I185" s="23">
        <v>46093</v>
      </c>
      <c r="J185" s="13" t="s">
        <v>70</v>
      </c>
      <c r="K185" s="2" t="s">
        <v>546</v>
      </c>
      <c r="L185" s="2">
        <v>110</v>
      </c>
      <c r="M185" s="4">
        <v>46231</v>
      </c>
      <c r="AF185" s="52">
        <v>46093</v>
      </c>
      <c r="AG185" s="52">
        <v>46175</v>
      </c>
      <c r="AH185" s="4" t="s">
        <v>12</v>
      </c>
      <c r="AI185" s="48">
        <f>AG185+210</f>
        <v>46385</v>
      </c>
      <c r="AJ185" s="48">
        <f>AG185+277</f>
        <v>46452</v>
      </c>
      <c r="AK185" s="50" t="s">
        <v>70</v>
      </c>
    </row>
    <row r="186" spans="1:37" x14ac:dyDescent="0.2">
      <c r="A186" s="13">
        <v>179</v>
      </c>
      <c r="B186" s="22" t="s">
        <v>304</v>
      </c>
      <c r="C186" s="13" t="s">
        <v>18</v>
      </c>
      <c r="D186" s="23">
        <v>45194</v>
      </c>
      <c r="E186" s="13">
        <v>1</v>
      </c>
      <c r="F186" s="13"/>
      <c r="G186" s="13" t="s">
        <v>266</v>
      </c>
      <c r="H186" s="13" t="s">
        <v>72</v>
      </c>
      <c r="I186" s="23">
        <v>46024</v>
      </c>
      <c r="J186" s="13" t="s">
        <v>70</v>
      </c>
      <c r="K186" s="2" t="s">
        <v>546</v>
      </c>
      <c r="L186" s="2">
        <v>110</v>
      </c>
      <c r="M186" s="4">
        <v>46231</v>
      </c>
      <c r="AF186" s="4">
        <v>46024</v>
      </c>
      <c r="AG186" s="4">
        <v>46142</v>
      </c>
      <c r="AH186" s="4" t="s">
        <v>20</v>
      </c>
      <c r="AI186" s="48">
        <f>AG186+210</f>
        <v>46352</v>
      </c>
      <c r="AJ186" s="48">
        <f>AG186+277</f>
        <v>46419</v>
      </c>
      <c r="AK186" s="49" t="s">
        <v>70</v>
      </c>
    </row>
    <row r="187" spans="1:37" x14ac:dyDescent="0.2">
      <c r="A187" s="13">
        <v>180</v>
      </c>
      <c r="B187" s="22" t="s">
        <v>305</v>
      </c>
      <c r="C187" s="40" t="s">
        <v>18</v>
      </c>
      <c r="D187" s="41">
        <v>45205</v>
      </c>
      <c r="E187" s="40">
        <v>1</v>
      </c>
      <c r="F187" s="40"/>
      <c r="G187" s="40" t="s">
        <v>303</v>
      </c>
      <c r="H187" s="40" t="s">
        <v>306</v>
      </c>
      <c r="I187" s="41">
        <v>46221</v>
      </c>
      <c r="J187" s="13" t="s">
        <v>62</v>
      </c>
      <c r="K187" s="2" t="s">
        <v>546</v>
      </c>
      <c r="L187" s="2">
        <v>100</v>
      </c>
      <c r="M187" s="4">
        <v>46231</v>
      </c>
    </row>
    <row r="188" spans="1:37" x14ac:dyDescent="0.2">
      <c r="A188" s="13">
        <v>181</v>
      </c>
      <c r="B188" s="22" t="s">
        <v>307</v>
      </c>
      <c r="C188" s="40" t="s">
        <v>18</v>
      </c>
      <c r="D188" s="41">
        <v>45206</v>
      </c>
      <c r="E188" s="40">
        <v>1</v>
      </c>
      <c r="F188" s="40"/>
      <c r="G188" s="40" t="s">
        <v>278</v>
      </c>
      <c r="H188" s="40">
        <v>604</v>
      </c>
      <c r="I188" s="41">
        <v>46079</v>
      </c>
      <c r="J188" s="13" t="s">
        <v>70</v>
      </c>
      <c r="K188" s="2" t="s">
        <v>546</v>
      </c>
      <c r="L188" s="2">
        <v>80</v>
      </c>
      <c r="M188" s="4">
        <v>46231</v>
      </c>
      <c r="AF188" s="52">
        <v>46188</v>
      </c>
      <c r="AG188" s="52">
        <v>46188</v>
      </c>
      <c r="AH188" s="4" t="s">
        <v>49</v>
      </c>
      <c r="AI188" s="48">
        <f>AG188+210</f>
        <v>46398</v>
      </c>
      <c r="AJ188" s="48">
        <f>AG188+277</f>
        <v>46465</v>
      </c>
      <c r="AK188" s="50" t="s">
        <v>68</v>
      </c>
    </row>
    <row r="189" spans="1:37" x14ac:dyDescent="0.2">
      <c r="A189" s="13">
        <v>182</v>
      </c>
      <c r="B189" s="22" t="s">
        <v>308</v>
      </c>
      <c r="C189" s="40" t="s">
        <v>63</v>
      </c>
      <c r="D189" s="41">
        <v>45207</v>
      </c>
      <c r="E189" s="40">
        <v>1</v>
      </c>
      <c r="F189" s="40"/>
      <c r="G189" s="40" t="s">
        <v>309</v>
      </c>
      <c r="H189" s="40">
        <v>509</v>
      </c>
      <c r="I189" s="41">
        <v>46159</v>
      </c>
      <c r="J189" s="13" t="s">
        <v>62</v>
      </c>
      <c r="K189" s="2" t="s">
        <v>546</v>
      </c>
      <c r="L189" s="2">
        <v>70</v>
      </c>
      <c r="M189" s="4">
        <v>46231</v>
      </c>
    </row>
    <row r="190" spans="1:37" x14ac:dyDescent="0.2">
      <c r="A190" s="13">
        <v>183</v>
      </c>
      <c r="B190" s="22" t="s">
        <v>310</v>
      </c>
      <c r="C190" s="40" t="s">
        <v>18</v>
      </c>
      <c r="D190" s="41">
        <v>45208</v>
      </c>
      <c r="E190" s="40">
        <v>1</v>
      </c>
      <c r="F190" s="40"/>
      <c r="G190" s="40" t="s">
        <v>303</v>
      </c>
      <c r="H190" s="40" t="s">
        <v>311</v>
      </c>
      <c r="I190" s="41">
        <v>46066</v>
      </c>
      <c r="J190" s="13" t="s">
        <v>62</v>
      </c>
      <c r="K190" s="2" t="s">
        <v>546</v>
      </c>
      <c r="L190" s="2">
        <v>100</v>
      </c>
      <c r="M190" s="4">
        <v>46231</v>
      </c>
      <c r="N190" s="4">
        <v>46066</v>
      </c>
      <c r="O190" s="4">
        <v>46206</v>
      </c>
      <c r="P190" s="4">
        <v>46262</v>
      </c>
      <c r="Q190" s="2" t="s">
        <v>577</v>
      </c>
      <c r="R190" s="2">
        <v>4</v>
      </c>
      <c r="S190" s="2" t="s">
        <v>570</v>
      </c>
      <c r="T190" s="2"/>
      <c r="AE190" s="2">
        <v>381</v>
      </c>
    </row>
    <row r="191" spans="1:37" x14ac:dyDescent="0.2">
      <c r="A191" s="13">
        <v>184</v>
      </c>
      <c r="B191" s="22" t="s">
        <v>312</v>
      </c>
      <c r="C191" s="40" t="s">
        <v>18</v>
      </c>
      <c r="D191" s="41">
        <v>45209</v>
      </c>
      <c r="E191" s="40">
        <v>1</v>
      </c>
      <c r="F191" s="40"/>
      <c r="G191" s="40" t="s">
        <v>303</v>
      </c>
      <c r="H191" s="40" t="s">
        <v>174</v>
      </c>
      <c r="I191" s="41">
        <v>45875</v>
      </c>
      <c r="J191" s="13" t="s">
        <v>62</v>
      </c>
      <c r="K191" s="2" t="s">
        <v>546</v>
      </c>
      <c r="L191" s="2">
        <v>100</v>
      </c>
      <c r="M191" s="4">
        <v>46231</v>
      </c>
    </row>
    <row r="192" spans="1:37" x14ac:dyDescent="0.2">
      <c r="A192" s="13">
        <v>185</v>
      </c>
      <c r="B192" s="22" t="s">
        <v>313</v>
      </c>
      <c r="C192" s="40" t="s">
        <v>18</v>
      </c>
      <c r="D192" s="41">
        <v>45217</v>
      </c>
      <c r="E192" s="40">
        <v>1</v>
      </c>
      <c r="F192" s="40"/>
      <c r="G192" s="40" t="s">
        <v>314</v>
      </c>
      <c r="H192" s="40" t="s">
        <v>121</v>
      </c>
      <c r="I192" s="41">
        <v>46199</v>
      </c>
      <c r="J192" s="13" t="s">
        <v>62</v>
      </c>
      <c r="K192" s="2" t="s">
        <v>546</v>
      </c>
      <c r="L192" s="2">
        <v>100</v>
      </c>
      <c r="M192" s="4">
        <v>46231</v>
      </c>
    </row>
    <row r="193" spans="1:37" x14ac:dyDescent="0.2">
      <c r="A193" s="13">
        <v>186</v>
      </c>
      <c r="B193" s="22" t="s">
        <v>315</v>
      </c>
      <c r="C193" s="40" t="s">
        <v>18</v>
      </c>
      <c r="D193" s="41">
        <v>45217</v>
      </c>
      <c r="E193" s="40">
        <v>1</v>
      </c>
      <c r="F193" s="40"/>
      <c r="G193" s="40" t="s">
        <v>273</v>
      </c>
      <c r="H193" s="40" t="s">
        <v>178</v>
      </c>
      <c r="I193" s="41">
        <v>46062</v>
      </c>
      <c r="J193" s="13" t="s">
        <v>62</v>
      </c>
      <c r="K193" s="2" t="s">
        <v>546</v>
      </c>
      <c r="L193" s="2">
        <v>100</v>
      </c>
      <c r="M193" s="4">
        <v>46231</v>
      </c>
      <c r="N193" s="52">
        <v>46062</v>
      </c>
      <c r="O193" s="52">
        <v>46240</v>
      </c>
      <c r="P193" s="52">
        <v>46265</v>
      </c>
      <c r="Q193" s="2" t="s">
        <v>577</v>
      </c>
      <c r="R193" s="2">
        <v>5</v>
      </c>
      <c r="S193" s="2" t="s">
        <v>570</v>
      </c>
      <c r="T193" s="2" t="s">
        <v>582</v>
      </c>
      <c r="AE193" s="2">
        <v>388</v>
      </c>
    </row>
    <row r="194" spans="1:37" x14ac:dyDescent="0.2">
      <c r="A194" s="13">
        <v>187</v>
      </c>
      <c r="B194" s="22" t="s">
        <v>316</v>
      </c>
      <c r="C194" s="40" t="s">
        <v>18</v>
      </c>
      <c r="D194" s="41">
        <v>45226</v>
      </c>
      <c r="E194" s="40">
        <v>1</v>
      </c>
      <c r="F194" s="40"/>
      <c r="G194" s="40" t="s">
        <v>303</v>
      </c>
      <c r="H194" s="40" t="s">
        <v>147</v>
      </c>
      <c r="I194" s="41">
        <v>46053</v>
      </c>
      <c r="J194" s="13" t="s">
        <v>62</v>
      </c>
      <c r="K194" s="2" t="s">
        <v>546</v>
      </c>
      <c r="L194" s="2">
        <v>110</v>
      </c>
      <c r="M194" s="4">
        <v>46231</v>
      </c>
      <c r="AF194" s="4">
        <v>46053</v>
      </c>
      <c r="AG194" s="4">
        <v>46150</v>
      </c>
      <c r="AH194" s="4" t="s">
        <v>20</v>
      </c>
      <c r="AI194" s="48">
        <f>AG194+210</f>
        <v>46360</v>
      </c>
      <c r="AJ194" s="48">
        <f>AG194+277</f>
        <v>46427</v>
      </c>
      <c r="AK194" s="49" t="s">
        <v>70</v>
      </c>
    </row>
    <row r="195" spans="1:37" x14ac:dyDescent="0.2">
      <c r="A195" s="13">
        <v>188</v>
      </c>
      <c r="B195" s="22" t="s">
        <v>317</v>
      </c>
      <c r="C195" s="40" t="s">
        <v>18</v>
      </c>
      <c r="D195" s="41">
        <v>45234</v>
      </c>
      <c r="E195" s="40">
        <v>1</v>
      </c>
      <c r="F195" s="40"/>
      <c r="G195" s="40" t="s">
        <v>318</v>
      </c>
      <c r="H195" s="40" t="s">
        <v>169</v>
      </c>
      <c r="I195" s="41">
        <v>46213</v>
      </c>
      <c r="J195" s="13" t="s">
        <v>62</v>
      </c>
      <c r="K195" s="2" t="s">
        <v>546</v>
      </c>
      <c r="L195" s="2">
        <v>100</v>
      </c>
      <c r="M195" s="4">
        <v>46231</v>
      </c>
    </row>
    <row r="196" spans="1:37" x14ac:dyDescent="0.2">
      <c r="A196" s="13">
        <v>189</v>
      </c>
      <c r="B196" s="22" t="s">
        <v>319</v>
      </c>
      <c r="C196" s="40" t="s">
        <v>63</v>
      </c>
      <c r="D196" s="41">
        <v>45236</v>
      </c>
      <c r="E196" s="40">
        <v>1</v>
      </c>
      <c r="F196" s="40"/>
      <c r="G196" s="40" t="s">
        <v>270</v>
      </c>
      <c r="H196" s="40" t="s">
        <v>69</v>
      </c>
      <c r="I196" s="41">
        <v>46047</v>
      </c>
      <c r="J196" s="13" t="s">
        <v>70</v>
      </c>
      <c r="K196" s="2" t="s">
        <v>546</v>
      </c>
      <c r="L196" s="2">
        <v>100</v>
      </c>
      <c r="M196" s="4">
        <v>46231</v>
      </c>
      <c r="AF196" s="4">
        <v>46047</v>
      </c>
      <c r="AG196" s="4">
        <v>46099</v>
      </c>
      <c r="AH196" s="4" t="s">
        <v>557</v>
      </c>
      <c r="AI196" s="48">
        <f>AG196+210</f>
        <v>46309</v>
      </c>
      <c r="AJ196" s="48">
        <f>AG196+277</f>
        <v>46376</v>
      </c>
      <c r="AK196" s="49" t="s">
        <v>70</v>
      </c>
    </row>
    <row r="197" spans="1:37" x14ac:dyDescent="0.2">
      <c r="A197" s="13">
        <v>190</v>
      </c>
      <c r="B197" s="22" t="s">
        <v>320</v>
      </c>
      <c r="C197" s="40" t="s">
        <v>18</v>
      </c>
      <c r="D197" s="41">
        <v>45237</v>
      </c>
      <c r="E197" s="40">
        <v>1</v>
      </c>
      <c r="F197" s="40"/>
      <c r="G197" s="40" t="s">
        <v>276</v>
      </c>
      <c r="H197" s="40" t="s">
        <v>117</v>
      </c>
      <c r="I197" s="41">
        <v>46085</v>
      </c>
      <c r="J197" s="13" t="s">
        <v>62</v>
      </c>
      <c r="K197" s="2" t="s">
        <v>546</v>
      </c>
      <c r="L197" s="2">
        <v>100</v>
      </c>
      <c r="M197" s="4">
        <v>46231</v>
      </c>
    </row>
    <row r="198" spans="1:37" x14ac:dyDescent="0.2">
      <c r="A198" s="13">
        <v>191</v>
      </c>
      <c r="B198" s="22" t="s">
        <v>321</v>
      </c>
      <c r="C198" s="40" t="s">
        <v>63</v>
      </c>
      <c r="D198" s="41">
        <v>45238</v>
      </c>
      <c r="E198" s="40">
        <v>1</v>
      </c>
      <c r="F198" s="40"/>
      <c r="G198" s="40" t="s">
        <v>270</v>
      </c>
      <c r="H198" s="40" t="s">
        <v>322</v>
      </c>
      <c r="I198" s="41">
        <v>46143</v>
      </c>
      <c r="J198" s="13" t="s">
        <v>62</v>
      </c>
      <c r="K198" s="2" t="s">
        <v>546</v>
      </c>
      <c r="L198" s="2">
        <v>60</v>
      </c>
      <c r="M198" s="4">
        <v>46231</v>
      </c>
    </row>
    <row r="199" spans="1:37" x14ac:dyDescent="0.2">
      <c r="A199" s="13">
        <v>192</v>
      </c>
      <c r="B199" s="22" t="s">
        <v>323</v>
      </c>
      <c r="C199" s="40" t="s">
        <v>18</v>
      </c>
      <c r="D199" s="41">
        <v>45245</v>
      </c>
      <c r="E199" s="40">
        <v>1</v>
      </c>
      <c r="F199" s="40"/>
      <c r="G199" s="40" t="s">
        <v>318</v>
      </c>
      <c r="H199" s="40" t="s">
        <v>255</v>
      </c>
      <c r="I199" s="41">
        <v>46160</v>
      </c>
      <c r="J199" s="13" t="s">
        <v>62</v>
      </c>
      <c r="K199" s="2" t="s">
        <v>546</v>
      </c>
      <c r="L199" s="2">
        <v>100</v>
      </c>
      <c r="M199" s="4">
        <v>46231</v>
      </c>
      <c r="N199" s="52">
        <v>46160</v>
      </c>
      <c r="O199" s="52">
        <v>46221</v>
      </c>
      <c r="P199" s="52">
        <v>46265</v>
      </c>
      <c r="Q199" s="2" t="s">
        <v>577</v>
      </c>
      <c r="R199" s="2">
        <v>2</v>
      </c>
      <c r="S199" s="2" t="s">
        <v>570</v>
      </c>
      <c r="T199" s="51"/>
      <c r="AE199" s="2">
        <v>389</v>
      </c>
    </row>
    <row r="200" spans="1:37" x14ac:dyDescent="0.2">
      <c r="A200" s="13">
        <v>193</v>
      </c>
      <c r="B200" s="22" t="s">
        <v>324</v>
      </c>
      <c r="C200" s="40" t="s">
        <v>18</v>
      </c>
      <c r="D200" s="41">
        <v>45246</v>
      </c>
      <c r="E200" s="40"/>
      <c r="F200" s="40"/>
      <c r="G200" s="40" t="s">
        <v>303</v>
      </c>
      <c r="H200" s="40" t="s">
        <v>254</v>
      </c>
      <c r="I200" s="40"/>
      <c r="J200" s="13" t="s">
        <v>259</v>
      </c>
      <c r="K200" s="2" t="s">
        <v>546</v>
      </c>
      <c r="L200" s="2"/>
      <c r="M200" s="4">
        <v>46231</v>
      </c>
    </row>
    <row r="201" spans="1:37" x14ac:dyDescent="0.2">
      <c r="A201" s="13">
        <v>194</v>
      </c>
      <c r="B201" s="22" t="s">
        <v>325</v>
      </c>
      <c r="C201" s="40" t="s">
        <v>18</v>
      </c>
      <c r="D201" s="41">
        <v>45249</v>
      </c>
      <c r="E201" s="40"/>
      <c r="F201" s="40"/>
      <c r="G201" s="40" t="s">
        <v>278</v>
      </c>
      <c r="H201" s="40" t="s">
        <v>189</v>
      </c>
      <c r="I201" s="40"/>
      <c r="J201" s="13" t="s">
        <v>262</v>
      </c>
      <c r="K201" s="2" t="s">
        <v>546</v>
      </c>
      <c r="L201" s="2">
        <v>110</v>
      </c>
      <c r="M201" s="4">
        <v>46231</v>
      </c>
      <c r="N201" s="4">
        <v>46147</v>
      </c>
      <c r="O201" s="4">
        <v>46221</v>
      </c>
      <c r="P201" s="4">
        <v>46263</v>
      </c>
      <c r="Q201" s="2" t="s">
        <v>578</v>
      </c>
      <c r="R201" s="2">
        <v>2</v>
      </c>
      <c r="S201" s="2" t="s">
        <v>570</v>
      </c>
      <c r="T201" s="2"/>
      <c r="AE201" s="2">
        <v>383</v>
      </c>
      <c r="AF201" s="2" t="s">
        <v>13</v>
      </c>
      <c r="AG201" s="4">
        <v>46113</v>
      </c>
      <c r="AH201" s="4" t="s">
        <v>558</v>
      </c>
      <c r="AI201" s="48">
        <f>AG201+210</f>
        <v>46323</v>
      </c>
      <c r="AJ201" s="48">
        <f>AG201+277</f>
        <v>46390</v>
      </c>
      <c r="AK201" s="49" t="s">
        <v>262</v>
      </c>
    </row>
    <row r="202" spans="1:37" x14ac:dyDescent="0.2">
      <c r="A202" s="13">
        <v>195</v>
      </c>
      <c r="B202" s="22" t="s">
        <v>326</v>
      </c>
      <c r="C202" s="40" t="s">
        <v>18</v>
      </c>
      <c r="D202" s="41">
        <v>45250</v>
      </c>
      <c r="E202" s="40">
        <v>1</v>
      </c>
      <c r="F202" s="40"/>
      <c r="G202" s="40" t="s">
        <v>318</v>
      </c>
      <c r="H202" s="40" t="s">
        <v>327</v>
      </c>
      <c r="I202" s="41">
        <v>46147</v>
      </c>
      <c r="J202" s="13" t="s">
        <v>62</v>
      </c>
      <c r="K202" s="2" t="s">
        <v>546</v>
      </c>
      <c r="L202" s="2">
        <v>100</v>
      </c>
      <c r="M202" s="4">
        <v>46231</v>
      </c>
    </row>
    <row r="203" spans="1:37" x14ac:dyDescent="0.2">
      <c r="A203" s="13">
        <v>196</v>
      </c>
      <c r="B203" s="22" t="s">
        <v>328</v>
      </c>
      <c r="C203" s="40" t="s">
        <v>18</v>
      </c>
      <c r="D203" s="41">
        <v>45254</v>
      </c>
      <c r="E203" s="40"/>
      <c r="F203" s="40"/>
      <c r="G203" s="40" t="s">
        <v>266</v>
      </c>
      <c r="H203" s="40" t="s">
        <v>153</v>
      </c>
      <c r="I203" s="40"/>
      <c r="J203" s="13" t="s">
        <v>259</v>
      </c>
      <c r="K203" s="2" t="s">
        <v>546</v>
      </c>
      <c r="L203" s="2">
        <v>80</v>
      </c>
      <c r="M203" s="4">
        <v>46231</v>
      </c>
    </row>
    <row r="204" spans="1:37" x14ac:dyDescent="0.2">
      <c r="A204" s="13">
        <v>197</v>
      </c>
      <c r="B204" s="22" t="s">
        <v>329</v>
      </c>
      <c r="C204" s="40" t="s">
        <v>18</v>
      </c>
      <c r="D204" s="41">
        <v>45263</v>
      </c>
      <c r="E204" s="40">
        <v>1</v>
      </c>
      <c r="F204" s="40"/>
      <c r="G204" s="40" t="s">
        <v>314</v>
      </c>
      <c r="H204" s="40" t="s">
        <v>182</v>
      </c>
      <c r="I204" s="41">
        <v>46096</v>
      </c>
      <c r="J204" s="13" t="s">
        <v>70</v>
      </c>
      <c r="K204" s="2" t="s">
        <v>546</v>
      </c>
      <c r="L204" s="2">
        <v>110</v>
      </c>
      <c r="M204" s="4">
        <v>46231</v>
      </c>
      <c r="AF204" s="4">
        <v>46096</v>
      </c>
      <c r="AG204" s="4">
        <v>46206</v>
      </c>
      <c r="AH204" s="4" t="s">
        <v>12</v>
      </c>
      <c r="AI204" s="48">
        <f>AG204+210</f>
        <v>46416</v>
      </c>
      <c r="AJ204" s="48">
        <f>AG204+277</f>
        <v>46483</v>
      </c>
      <c r="AK204" s="50" t="s">
        <v>70</v>
      </c>
    </row>
    <row r="205" spans="1:37" x14ac:dyDescent="0.2">
      <c r="A205" s="13">
        <v>198</v>
      </c>
      <c r="B205" s="22" t="s">
        <v>330</v>
      </c>
      <c r="C205" s="40" t="s">
        <v>18</v>
      </c>
      <c r="D205" s="41">
        <v>45269</v>
      </c>
      <c r="E205" s="40">
        <v>1</v>
      </c>
      <c r="F205" s="40"/>
      <c r="G205" s="40" t="s">
        <v>122</v>
      </c>
      <c r="H205" s="40" t="s">
        <v>180</v>
      </c>
      <c r="I205" s="41">
        <v>46074</v>
      </c>
      <c r="J205" s="13" t="s">
        <v>62</v>
      </c>
      <c r="K205" s="2" t="s">
        <v>546</v>
      </c>
      <c r="L205" s="2">
        <v>100</v>
      </c>
      <c r="M205" s="4">
        <v>46231</v>
      </c>
      <c r="N205" s="4">
        <v>46074</v>
      </c>
      <c r="O205" s="4">
        <v>46201</v>
      </c>
      <c r="P205" s="4">
        <v>46261</v>
      </c>
      <c r="Q205" s="2" t="s">
        <v>571</v>
      </c>
      <c r="R205" s="2">
        <v>5</v>
      </c>
      <c r="S205" s="2" t="s">
        <v>570</v>
      </c>
      <c r="T205" s="2"/>
      <c r="AE205" s="2">
        <v>378</v>
      </c>
    </row>
    <row r="206" spans="1:37" x14ac:dyDescent="0.2">
      <c r="A206" s="13">
        <v>199</v>
      </c>
      <c r="B206" s="22" t="s">
        <v>331</v>
      </c>
      <c r="C206" s="40" t="s">
        <v>18</v>
      </c>
      <c r="D206" s="41">
        <v>45270</v>
      </c>
      <c r="E206" s="40">
        <v>1</v>
      </c>
      <c r="F206" s="40"/>
      <c r="G206" s="40" t="s">
        <v>314</v>
      </c>
      <c r="H206" s="40" t="s">
        <v>109</v>
      </c>
      <c r="I206" s="41">
        <v>46084</v>
      </c>
      <c r="J206" s="13" t="s">
        <v>62</v>
      </c>
      <c r="K206" s="2" t="s">
        <v>546</v>
      </c>
      <c r="L206" s="2">
        <v>110</v>
      </c>
      <c r="M206" s="4">
        <v>46231</v>
      </c>
      <c r="N206" s="4">
        <v>46084</v>
      </c>
      <c r="O206" s="4">
        <v>46211</v>
      </c>
      <c r="P206" s="4">
        <v>46243</v>
      </c>
      <c r="Q206" s="2" t="s">
        <v>49</v>
      </c>
      <c r="R206" s="2">
        <v>3</v>
      </c>
      <c r="S206" s="2" t="s">
        <v>570</v>
      </c>
      <c r="T206" s="2"/>
      <c r="AE206" s="2">
        <v>348</v>
      </c>
    </row>
    <row r="207" spans="1:37" x14ac:dyDescent="0.2">
      <c r="A207" s="13">
        <v>200</v>
      </c>
      <c r="B207" s="22" t="s">
        <v>332</v>
      </c>
      <c r="C207" s="40" t="s">
        <v>18</v>
      </c>
      <c r="D207" s="41">
        <v>45279</v>
      </c>
      <c r="E207" s="40">
        <v>1</v>
      </c>
      <c r="F207" s="40"/>
      <c r="G207" s="40" t="s">
        <v>264</v>
      </c>
      <c r="H207" s="40" t="s">
        <v>65</v>
      </c>
      <c r="I207" s="41">
        <v>46105</v>
      </c>
      <c r="J207" s="13" t="s">
        <v>62</v>
      </c>
      <c r="K207" s="2" t="s">
        <v>546</v>
      </c>
      <c r="L207" s="2"/>
      <c r="M207" s="4">
        <v>46231</v>
      </c>
      <c r="N207" s="4">
        <v>46105</v>
      </c>
      <c r="O207" s="4">
        <v>46231</v>
      </c>
      <c r="P207" s="4">
        <v>46252</v>
      </c>
      <c r="Q207" s="2" t="s">
        <v>574</v>
      </c>
      <c r="R207" s="2">
        <v>4</v>
      </c>
      <c r="S207" s="2" t="s">
        <v>570</v>
      </c>
      <c r="T207" s="2"/>
      <c r="AE207" s="2">
        <v>357</v>
      </c>
    </row>
    <row r="208" spans="1:37" x14ac:dyDescent="0.2">
      <c r="A208" s="13">
        <v>201</v>
      </c>
      <c r="B208" s="22" t="s">
        <v>333</v>
      </c>
      <c r="C208" s="40" t="s">
        <v>18</v>
      </c>
      <c r="D208" s="41">
        <v>45291</v>
      </c>
      <c r="E208" s="40">
        <v>1</v>
      </c>
      <c r="F208" s="40"/>
      <c r="G208" s="40" t="s">
        <v>318</v>
      </c>
      <c r="H208" s="40" t="s">
        <v>183</v>
      </c>
      <c r="I208" s="41">
        <v>46140</v>
      </c>
      <c r="J208" s="13" t="s">
        <v>62</v>
      </c>
      <c r="K208" s="2" t="s">
        <v>546</v>
      </c>
      <c r="L208" s="2">
        <v>110</v>
      </c>
      <c r="M208" s="4">
        <v>46231</v>
      </c>
      <c r="N208" s="4">
        <v>46140</v>
      </c>
      <c r="O208" s="4">
        <v>46241</v>
      </c>
      <c r="P208" s="4">
        <v>46261</v>
      </c>
      <c r="Q208" s="2" t="s">
        <v>571</v>
      </c>
      <c r="R208" s="2">
        <v>2</v>
      </c>
      <c r="S208" s="2" t="s">
        <v>570</v>
      </c>
      <c r="T208" s="2"/>
      <c r="AE208" s="2">
        <v>379</v>
      </c>
    </row>
    <row r="209" spans="1:39" x14ac:dyDescent="0.2">
      <c r="A209" s="13">
        <v>202</v>
      </c>
      <c r="B209" s="22" t="s">
        <v>334</v>
      </c>
      <c r="C209" s="13" t="s">
        <v>18</v>
      </c>
      <c r="D209" s="23">
        <v>45305</v>
      </c>
      <c r="E209" s="13">
        <v>1</v>
      </c>
      <c r="F209" s="13"/>
      <c r="G209" s="13" t="s">
        <v>264</v>
      </c>
      <c r="H209" s="13">
        <v>243</v>
      </c>
      <c r="I209" s="23">
        <v>46151</v>
      </c>
      <c r="J209" s="13" t="s">
        <v>62</v>
      </c>
      <c r="K209" s="2" t="s">
        <v>546</v>
      </c>
      <c r="L209" s="2">
        <v>110</v>
      </c>
      <c r="M209" s="4">
        <v>46231</v>
      </c>
      <c r="N209" s="4">
        <v>46151</v>
      </c>
      <c r="O209" s="4">
        <v>46215</v>
      </c>
      <c r="P209" s="4">
        <v>46254</v>
      </c>
      <c r="Q209" s="2" t="s">
        <v>574</v>
      </c>
      <c r="R209" s="2">
        <v>2</v>
      </c>
      <c r="S209" s="2" t="s">
        <v>570</v>
      </c>
      <c r="T209" s="2"/>
      <c r="AE209" s="2">
        <v>359</v>
      </c>
    </row>
    <row r="210" spans="1:39" x14ac:dyDescent="0.2">
      <c r="A210" s="13">
        <v>203</v>
      </c>
      <c r="B210" s="22" t="s">
        <v>335</v>
      </c>
      <c r="C210" s="13" t="s">
        <v>18</v>
      </c>
      <c r="D210" s="23">
        <v>45313</v>
      </c>
      <c r="E210" s="13">
        <v>1</v>
      </c>
      <c r="F210" s="13"/>
      <c r="G210" s="13" t="s">
        <v>303</v>
      </c>
      <c r="H210" s="13" t="s">
        <v>172</v>
      </c>
      <c r="I210" s="23">
        <v>46117</v>
      </c>
      <c r="J210" s="13" t="s">
        <v>62</v>
      </c>
      <c r="K210" s="2" t="s">
        <v>546</v>
      </c>
      <c r="L210" s="2"/>
      <c r="M210" s="4">
        <v>46231</v>
      </c>
      <c r="N210" s="4">
        <v>46117</v>
      </c>
      <c r="O210" s="4">
        <v>46211</v>
      </c>
      <c r="P210" s="4">
        <v>46256</v>
      </c>
      <c r="Q210" s="2" t="s">
        <v>575</v>
      </c>
      <c r="R210" s="2">
        <v>3</v>
      </c>
      <c r="S210" s="2" t="s">
        <v>570</v>
      </c>
      <c r="T210" s="2"/>
      <c r="AE210" s="2">
        <v>365</v>
      </c>
    </row>
    <row r="211" spans="1:39" x14ac:dyDescent="0.2">
      <c r="A211" s="13">
        <v>204</v>
      </c>
      <c r="B211" s="22" t="s">
        <v>336</v>
      </c>
      <c r="C211" s="13" t="s">
        <v>18</v>
      </c>
      <c r="D211" s="23">
        <v>45313</v>
      </c>
      <c r="E211" s="13">
        <v>1</v>
      </c>
      <c r="F211" s="13"/>
      <c r="G211" s="13" t="s">
        <v>266</v>
      </c>
      <c r="H211" s="13" t="s">
        <v>144</v>
      </c>
      <c r="I211" s="23">
        <v>46098</v>
      </c>
      <c r="J211" s="13" t="s">
        <v>62</v>
      </c>
      <c r="K211" s="2" t="s">
        <v>546</v>
      </c>
      <c r="L211" s="2">
        <v>100</v>
      </c>
      <c r="M211" s="4">
        <v>46231</v>
      </c>
      <c r="N211" s="4">
        <v>46098</v>
      </c>
      <c r="O211" s="4">
        <v>46229</v>
      </c>
      <c r="P211" s="4">
        <v>46249</v>
      </c>
      <c r="Q211" s="2" t="s">
        <v>49</v>
      </c>
      <c r="R211" s="2">
        <v>2</v>
      </c>
      <c r="S211" s="2" t="s">
        <v>570</v>
      </c>
      <c r="T211" s="2"/>
      <c r="AE211" s="2">
        <v>352</v>
      </c>
    </row>
    <row r="212" spans="1:39" x14ac:dyDescent="0.2">
      <c r="A212" s="13">
        <v>205</v>
      </c>
      <c r="B212" s="22" t="s">
        <v>337</v>
      </c>
      <c r="C212" s="13" t="s">
        <v>18</v>
      </c>
      <c r="D212" s="23">
        <v>45337</v>
      </c>
      <c r="E212" s="13">
        <v>1</v>
      </c>
      <c r="F212" s="13"/>
      <c r="G212" s="13" t="s">
        <v>264</v>
      </c>
      <c r="H212" s="13" t="s">
        <v>27</v>
      </c>
      <c r="I212" s="23">
        <v>46233</v>
      </c>
      <c r="J212" s="13" t="s">
        <v>62</v>
      </c>
      <c r="K212" s="2" t="s">
        <v>546</v>
      </c>
      <c r="L212" s="2">
        <v>100</v>
      </c>
      <c r="M212" s="4">
        <v>46231</v>
      </c>
    </row>
    <row r="213" spans="1:39" x14ac:dyDescent="0.2">
      <c r="A213" s="13">
        <v>206</v>
      </c>
      <c r="B213" s="22" t="s">
        <v>338</v>
      </c>
      <c r="C213" s="13" t="s">
        <v>18</v>
      </c>
      <c r="D213" s="23">
        <v>45347</v>
      </c>
      <c r="E213" s="13"/>
      <c r="F213" s="13"/>
      <c r="G213" s="13" t="s">
        <v>264</v>
      </c>
      <c r="H213" s="13">
        <v>600</v>
      </c>
      <c r="I213" s="13"/>
      <c r="J213" s="13" t="s">
        <v>262</v>
      </c>
      <c r="K213" s="2" t="s">
        <v>546</v>
      </c>
      <c r="L213" s="2">
        <v>90</v>
      </c>
      <c r="M213" s="4">
        <v>46231</v>
      </c>
      <c r="AF213" s="2" t="s">
        <v>13</v>
      </c>
      <c r="AG213" s="4">
        <v>46034</v>
      </c>
      <c r="AH213" s="47" t="s">
        <v>528</v>
      </c>
      <c r="AI213" s="48">
        <f>AG213+210</f>
        <v>46244</v>
      </c>
      <c r="AJ213" s="48">
        <f>AG213+277</f>
        <v>46311</v>
      </c>
      <c r="AK213" s="49" t="s">
        <v>262</v>
      </c>
    </row>
    <row r="214" spans="1:39" x14ac:dyDescent="0.2">
      <c r="A214" s="13">
        <v>207</v>
      </c>
      <c r="B214" s="22" t="s">
        <v>339</v>
      </c>
      <c r="C214" s="13" t="s">
        <v>18</v>
      </c>
      <c r="D214" s="23">
        <v>45349</v>
      </c>
      <c r="E214" s="13"/>
      <c r="F214" s="13"/>
      <c r="G214" s="13" t="s">
        <v>264</v>
      </c>
      <c r="H214" s="13" t="s">
        <v>340</v>
      </c>
      <c r="I214" s="13"/>
      <c r="J214" s="13" t="s">
        <v>262</v>
      </c>
      <c r="K214" s="2" t="s">
        <v>546</v>
      </c>
      <c r="L214" s="2">
        <v>80</v>
      </c>
      <c r="M214" s="4">
        <v>46231</v>
      </c>
      <c r="AF214" s="2" t="s">
        <v>13</v>
      </c>
      <c r="AG214" s="4">
        <v>46063</v>
      </c>
      <c r="AH214" s="47" t="s">
        <v>556</v>
      </c>
      <c r="AI214" s="48">
        <f>AG214+210</f>
        <v>46273</v>
      </c>
      <c r="AJ214" s="48">
        <f>AG214+277</f>
        <v>46340</v>
      </c>
      <c r="AK214" s="49" t="s">
        <v>262</v>
      </c>
    </row>
    <row r="215" spans="1:39" x14ac:dyDescent="0.2">
      <c r="A215" s="13">
        <v>208</v>
      </c>
      <c r="B215" s="22" t="s">
        <v>341</v>
      </c>
      <c r="C215" s="13" t="s">
        <v>18</v>
      </c>
      <c r="D215" s="23">
        <v>45372</v>
      </c>
      <c r="E215" s="13"/>
      <c r="F215" s="13"/>
      <c r="G215" s="13" t="s">
        <v>314</v>
      </c>
      <c r="H215" s="13" t="s">
        <v>173</v>
      </c>
      <c r="I215" s="13"/>
      <c r="J215" s="13" t="s">
        <v>262</v>
      </c>
      <c r="K215" s="2" t="s">
        <v>546</v>
      </c>
      <c r="L215" s="2"/>
      <c r="M215" s="4">
        <v>46231</v>
      </c>
      <c r="AF215" s="2" t="s">
        <v>13</v>
      </c>
      <c r="AG215" s="4">
        <v>46122</v>
      </c>
      <c r="AH215" s="4" t="s">
        <v>423</v>
      </c>
      <c r="AI215" s="48">
        <f>AG215+210</f>
        <v>46332</v>
      </c>
      <c r="AJ215" s="48">
        <f>AG215+277</f>
        <v>46399</v>
      </c>
      <c r="AK215" s="49" t="s">
        <v>262</v>
      </c>
    </row>
    <row r="216" spans="1:39" x14ac:dyDescent="0.2">
      <c r="A216" s="13">
        <v>209</v>
      </c>
      <c r="B216" s="22" t="s">
        <v>342</v>
      </c>
      <c r="C216" s="13" t="s">
        <v>18</v>
      </c>
      <c r="D216" s="23">
        <v>45502</v>
      </c>
      <c r="E216" s="13"/>
      <c r="F216" s="13"/>
      <c r="G216" s="13" t="s">
        <v>343</v>
      </c>
      <c r="H216" s="13" t="s">
        <v>123</v>
      </c>
      <c r="I216" s="13"/>
      <c r="J216" s="13" t="s">
        <v>262</v>
      </c>
      <c r="K216" s="2" t="s">
        <v>546</v>
      </c>
      <c r="L216" s="2">
        <v>90</v>
      </c>
      <c r="M216" s="4">
        <v>46231</v>
      </c>
      <c r="AF216" s="2" t="s">
        <v>13</v>
      </c>
      <c r="AG216" s="4">
        <v>46145</v>
      </c>
      <c r="AH216" s="4" t="s">
        <v>12</v>
      </c>
      <c r="AI216" s="48">
        <f>AG216+210</f>
        <v>46355</v>
      </c>
      <c r="AJ216" s="48">
        <f>AG216+277</f>
        <v>46422</v>
      </c>
      <c r="AK216" s="49" t="s">
        <v>262</v>
      </c>
    </row>
    <row r="217" spans="1:39" x14ac:dyDescent="0.2">
      <c r="A217" s="13">
        <v>210</v>
      </c>
      <c r="B217" s="22" t="s">
        <v>344</v>
      </c>
      <c r="C217" s="13" t="s">
        <v>18</v>
      </c>
      <c r="D217" s="23">
        <v>45417</v>
      </c>
      <c r="E217" s="13">
        <v>1</v>
      </c>
      <c r="F217" s="13"/>
      <c r="G217" s="13" t="s">
        <v>266</v>
      </c>
      <c r="H217" s="13" t="s">
        <v>191</v>
      </c>
      <c r="I217" s="23">
        <v>46203</v>
      </c>
      <c r="J217" s="13" t="s">
        <v>62</v>
      </c>
      <c r="K217" s="2" t="s">
        <v>546</v>
      </c>
      <c r="L217" s="2">
        <v>110</v>
      </c>
      <c r="M217" s="4">
        <v>46231</v>
      </c>
    </row>
    <row r="218" spans="1:39" x14ac:dyDescent="0.2">
      <c r="A218" s="13">
        <v>211</v>
      </c>
      <c r="B218" s="22" t="s">
        <v>39</v>
      </c>
      <c r="C218" s="13" t="s">
        <v>18</v>
      </c>
      <c r="D218" s="23">
        <v>45419</v>
      </c>
      <c r="E218" s="13">
        <v>1</v>
      </c>
      <c r="F218" s="13"/>
      <c r="G218" s="13" t="s">
        <v>345</v>
      </c>
      <c r="H218" s="13" t="s">
        <v>346</v>
      </c>
      <c r="I218" s="23">
        <v>46253</v>
      </c>
      <c r="J218" s="13" t="s">
        <v>70</v>
      </c>
      <c r="K218" s="2" t="s">
        <v>546</v>
      </c>
      <c r="L218" s="2">
        <v>110</v>
      </c>
      <c r="M218" s="4">
        <v>46231</v>
      </c>
      <c r="U218" s="2" t="s">
        <v>25</v>
      </c>
      <c r="V218" s="2" t="s">
        <v>13</v>
      </c>
      <c r="W218" s="4">
        <v>45976</v>
      </c>
      <c r="X218" s="5">
        <v>46253</v>
      </c>
      <c r="Y218" s="6">
        <v>0.70833333333333337</v>
      </c>
      <c r="Z218" s="2" t="s">
        <v>14</v>
      </c>
      <c r="AA218" s="2" t="s">
        <v>15</v>
      </c>
      <c r="AB218" s="6">
        <v>0.54166666666666663</v>
      </c>
      <c r="AC218" s="2" t="s">
        <v>17</v>
      </c>
      <c r="AD218" s="2">
        <f>X218-W218</f>
        <v>277</v>
      </c>
      <c r="AE218" s="2" t="s">
        <v>13</v>
      </c>
      <c r="AM218">
        <v>28</v>
      </c>
    </row>
    <row r="219" spans="1:39" x14ac:dyDescent="0.2">
      <c r="A219" s="13">
        <v>212</v>
      </c>
      <c r="B219" s="22" t="s">
        <v>347</v>
      </c>
      <c r="C219" s="13" t="s">
        <v>18</v>
      </c>
      <c r="D219" s="23">
        <v>45467</v>
      </c>
      <c r="E219" s="13"/>
      <c r="F219" s="13"/>
      <c r="G219" s="13" t="s">
        <v>278</v>
      </c>
      <c r="H219" s="13" t="s">
        <v>125</v>
      </c>
      <c r="I219" s="13"/>
      <c r="J219" s="13" t="s">
        <v>262</v>
      </c>
      <c r="K219" s="2" t="s">
        <v>546</v>
      </c>
      <c r="L219" s="2">
        <v>100</v>
      </c>
      <c r="M219" s="4">
        <v>46231</v>
      </c>
      <c r="AF219" s="4" t="s">
        <v>13</v>
      </c>
      <c r="AG219" s="4">
        <v>46053</v>
      </c>
      <c r="AH219" s="47" t="s">
        <v>556</v>
      </c>
      <c r="AI219" s="48">
        <f>AG219+210</f>
        <v>46263</v>
      </c>
      <c r="AJ219" s="48">
        <f>AG219+277</f>
        <v>46330</v>
      </c>
      <c r="AK219" s="49" t="s">
        <v>262</v>
      </c>
    </row>
    <row r="220" spans="1:39" x14ac:dyDescent="0.2">
      <c r="A220" s="13">
        <v>213</v>
      </c>
      <c r="B220" s="22" t="s">
        <v>348</v>
      </c>
      <c r="C220" s="13" t="s">
        <v>18</v>
      </c>
      <c r="D220" s="23">
        <v>45473</v>
      </c>
      <c r="E220" s="13">
        <v>1</v>
      </c>
      <c r="F220" s="13"/>
      <c r="G220" s="13" t="s">
        <v>345</v>
      </c>
      <c r="H220" s="13" t="s">
        <v>349</v>
      </c>
      <c r="I220" s="23">
        <v>46219</v>
      </c>
      <c r="J220" s="13" t="s">
        <v>62</v>
      </c>
      <c r="K220" s="2" t="s">
        <v>546</v>
      </c>
      <c r="L220" s="2">
        <v>100</v>
      </c>
      <c r="M220" s="4">
        <v>46231</v>
      </c>
    </row>
    <row r="221" spans="1:39" x14ac:dyDescent="0.2">
      <c r="A221" s="13">
        <v>214</v>
      </c>
      <c r="B221" s="22" t="s">
        <v>350</v>
      </c>
      <c r="C221" s="13" t="s">
        <v>18</v>
      </c>
      <c r="D221" s="23">
        <v>45484</v>
      </c>
      <c r="E221" s="13"/>
      <c r="F221" s="13"/>
      <c r="G221" s="13" t="s">
        <v>264</v>
      </c>
      <c r="H221" s="13" t="s">
        <v>145</v>
      </c>
      <c r="I221" s="40"/>
      <c r="J221" s="13" t="s">
        <v>262</v>
      </c>
      <c r="K221" s="2" t="s">
        <v>546</v>
      </c>
      <c r="L221" s="2">
        <v>110</v>
      </c>
      <c r="M221" s="4">
        <v>46231</v>
      </c>
      <c r="N221" s="2" t="s">
        <v>13</v>
      </c>
      <c r="O221" s="4">
        <v>45984</v>
      </c>
      <c r="P221" s="4">
        <v>46264</v>
      </c>
      <c r="Q221" s="2" t="s">
        <v>577</v>
      </c>
      <c r="R221" s="2">
        <v>4</v>
      </c>
      <c r="S221" s="2" t="s">
        <v>570</v>
      </c>
      <c r="T221" s="2"/>
      <c r="AE221" s="2">
        <v>385</v>
      </c>
    </row>
    <row r="222" spans="1:39" x14ac:dyDescent="0.2">
      <c r="A222" s="13">
        <v>215</v>
      </c>
      <c r="B222" s="22" t="s">
        <v>351</v>
      </c>
      <c r="C222" s="13" t="s">
        <v>18</v>
      </c>
      <c r="D222" s="23">
        <v>45496</v>
      </c>
      <c r="E222" s="13"/>
      <c r="F222" s="13"/>
      <c r="G222" s="13" t="s">
        <v>266</v>
      </c>
      <c r="H222" s="13" t="s">
        <v>352</v>
      </c>
      <c r="I222" s="40"/>
      <c r="J222" s="13" t="s">
        <v>262</v>
      </c>
      <c r="K222" s="2" t="s">
        <v>546</v>
      </c>
      <c r="L222" s="2">
        <v>100</v>
      </c>
      <c r="M222" s="4">
        <v>46231</v>
      </c>
      <c r="AF222" s="2" t="s">
        <v>13</v>
      </c>
      <c r="AG222" s="4">
        <v>46052</v>
      </c>
      <c r="AH222" s="47" t="s">
        <v>537</v>
      </c>
      <c r="AI222" s="48">
        <f>AG222+210</f>
        <v>46262</v>
      </c>
      <c r="AJ222" s="48">
        <f>AG222+277</f>
        <v>46329</v>
      </c>
      <c r="AK222" s="49" t="s">
        <v>262</v>
      </c>
    </row>
    <row r="223" spans="1:39" x14ac:dyDescent="0.2">
      <c r="A223" s="13">
        <v>216</v>
      </c>
      <c r="B223" s="22" t="s">
        <v>31</v>
      </c>
      <c r="C223" s="13" t="s">
        <v>18</v>
      </c>
      <c r="D223" s="23">
        <v>45501</v>
      </c>
      <c r="E223" s="13">
        <v>1</v>
      </c>
      <c r="F223" s="13"/>
      <c r="G223" s="13" t="s">
        <v>273</v>
      </c>
      <c r="H223" s="13" t="s">
        <v>353</v>
      </c>
      <c r="I223" s="41">
        <v>46247</v>
      </c>
      <c r="J223" s="13" t="s">
        <v>62</v>
      </c>
      <c r="K223" s="2" t="s">
        <v>546</v>
      </c>
      <c r="L223" s="2">
        <v>100</v>
      </c>
      <c r="M223" s="4">
        <v>46231</v>
      </c>
      <c r="U223" s="2" t="s">
        <v>12</v>
      </c>
      <c r="V223" s="2" t="s">
        <v>13</v>
      </c>
      <c r="W223" s="4">
        <v>45981</v>
      </c>
      <c r="X223" s="5">
        <v>46247</v>
      </c>
      <c r="Y223" s="6">
        <v>0.65625</v>
      </c>
      <c r="Z223" s="2" t="s">
        <v>14</v>
      </c>
      <c r="AA223" s="2" t="s">
        <v>15</v>
      </c>
      <c r="AB223" s="6">
        <v>0.25</v>
      </c>
      <c r="AC223" s="2" t="s">
        <v>21</v>
      </c>
      <c r="AD223" s="2">
        <f>X223-W223</f>
        <v>266</v>
      </c>
      <c r="AE223" s="2" t="s">
        <v>13</v>
      </c>
      <c r="AM223">
        <v>28</v>
      </c>
    </row>
    <row r="224" spans="1:39" x14ac:dyDescent="0.2">
      <c r="A224" s="13">
        <v>217</v>
      </c>
      <c r="B224" s="22" t="s">
        <v>354</v>
      </c>
      <c r="C224" s="13" t="s">
        <v>18</v>
      </c>
      <c r="D224" s="23">
        <v>45501</v>
      </c>
      <c r="E224" s="13"/>
      <c r="F224" s="13"/>
      <c r="G224" s="13" t="s">
        <v>273</v>
      </c>
      <c r="H224" s="13" t="s">
        <v>355</v>
      </c>
      <c r="I224" s="40"/>
      <c r="J224" s="13" t="s">
        <v>262</v>
      </c>
      <c r="K224" s="2" t="s">
        <v>546</v>
      </c>
      <c r="L224" s="2">
        <v>90</v>
      </c>
      <c r="M224" s="4">
        <v>46231</v>
      </c>
      <c r="AF224" s="2" t="s">
        <v>13</v>
      </c>
      <c r="AG224" s="4">
        <v>46025</v>
      </c>
      <c r="AH224" s="47" t="s">
        <v>553</v>
      </c>
      <c r="AI224" s="48">
        <f>AG224+210</f>
        <v>46235</v>
      </c>
      <c r="AJ224" s="48">
        <f>AG224+277</f>
        <v>46302</v>
      </c>
      <c r="AK224" s="49" t="s">
        <v>262</v>
      </c>
    </row>
    <row r="225" spans="1:39" x14ac:dyDescent="0.2">
      <c r="A225" s="13">
        <v>218</v>
      </c>
      <c r="B225" s="22" t="s">
        <v>11</v>
      </c>
      <c r="C225" s="13" t="s">
        <v>18</v>
      </c>
      <c r="D225" s="23">
        <v>45503</v>
      </c>
      <c r="E225" s="13">
        <v>1</v>
      </c>
      <c r="F225" s="13"/>
      <c r="G225" s="13" t="s">
        <v>356</v>
      </c>
      <c r="H225" s="13" t="s">
        <v>290</v>
      </c>
      <c r="I225" s="23">
        <v>46236</v>
      </c>
      <c r="J225" s="13" t="s">
        <v>62</v>
      </c>
      <c r="K225" s="2" t="s">
        <v>546</v>
      </c>
      <c r="L225" s="2">
        <v>100</v>
      </c>
      <c r="M225" s="4">
        <v>46231</v>
      </c>
      <c r="U225" s="2" t="s">
        <v>12</v>
      </c>
      <c r="V225" s="4" t="s">
        <v>13</v>
      </c>
      <c r="W225" s="4">
        <v>45960</v>
      </c>
      <c r="X225" s="5">
        <v>46236</v>
      </c>
      <c r="Y225" s="6">
        <v>0.61805555555555558</v>
      </c>
      <c r="Z225" s="2" t="s">
        <v>14</v>
      </c>
      <c r="AA225" s="2" t="s">
        <v>15</v>
      </c>
      <c r="AB225" s="6">
        <v>0.77083333333333337</v>
      </c>
      <c r="AC225" s="2" t="s">
        <v>17</v>
      </c>
      <c r="AD225" s="2">
        <f>X225-W225</f>
        <v>276</v>
      </c>
      <c r="AE225" s="2" t="s">
        <v>13</v>
      </c>
      <c r="AM225">
        <v>28</v>
      </c>
    </row>
    <row r="226" spans="1:39" x14ac:dyDescent="0.2">
      <c r="A226" s="13">
        <v>219</v>
      </c>
      <c r="B226" s="22" t="s">
        <v>357</v>
      </c>
      <c r="C226" s="13" t="s">
        <v>18</v>
      </c>
      <c r="D226" s="23">
        <v>45509</v>
      </c>
      <c r="E226" s="13"/>
      <c r="F226" s="13"/>
      <c r="G226" s="13" t="s">
        <v>278</v>
      </c>
      <c r="H226" s="13" t="s">
        <v>168</v>
      </c>
      <c r="I226" s="13"/>
      <c r="J226" s="13" t="s">
        <v>262</v>
      </c>
      <c r="K226" s="2" t="s">
        <v>546</v>
      </c>
      <c r="L226" s="2">
        <v>70</v>
      </c>
      <c r="M226" s="4">
        <v>46231</v>
      </c>
      <c r="AF226" s="4" t="s">
        <v>13</v>
      </c>
      <c r="AG226" s="4">
        <v>46097</v>
      </c>
      <c r="AH226" s="47" t="s">
        <v>556</v>
      </c>
      <c r="AI226" s="48">
        <f>AG226+210</f>
        <v>46307</v>
      </c>
      <c r="AJ226" s="48">
        <f>AG226+277</f>
        <v>46374</v>
      </c>
      <c r="AK226" s="49" t="s">
        <v>262</v>
      </c>
    </row>
    <row r="227" spans="1:39" x14ac:dyDescent="0.2">
      <c r="A227" s="13">
        <v>220</v>
      </c>
      <c r="B227" s="22" t="s">
        <v>358</v>
      </c>
      <c r="C227" s="13" t="s">
        <v>18</v>
      </c>
      <c r="D227" s="23">
        <v>45513</v>
      </c>
      <c r="E227" s="13"/>
      <c r="F227" s="13"/>
      <c r="G227" s="13" t="s">
        <v>345</v>
      </c>
      <c r="H227" s="13" t="s">
        <v>113</v>
      </c>
      <c r="I227" s="13"/>
      <c r="J227" s="13" t="s">
        <v>262</v>
      </c>
      <c r="K227" s="2" t="s">
        <v>546</v>
      </c>
      <c r="L227" s="2">
        <v>90</v>
      </c>
      <c r="M227" s="4">
        <v>46231</v>
      </c>
      <c r="AF227" s="2" t="s">
        <v>13</v>
      </c>
      <c r="AG227" s="4">
        <v>46053</v>
      </c>
      <c r="AH227" s="47" t="s">
        <v>556</v>
      </c>
      <c r="AI227" s="48">
        <f>AG227+210</f>
        <v>46263</v>
      </c>
      <c r="AJ227" s="48">
        <f>AG227+277</f>
        <v>46330</v>
      </c>
      <c r="AK227" s="49" t="s">
        <v>262</v>
      </c>
    </row>
    <row r="228" spans="1:39" x14ac:dyDescent="0.2">
      <c r="A228" s="13">
        <v>221</v>
      </c>
      <c r="B228" s="22" t="s">
        <v>359</v>
      </c>
      <c r="C228" s="13" t="s">
        <v>18</v>
      </c>
      <c r="D228" s="23">
        <v>45518</v>
      </c>
      <c r="E228" s="13"/>
      <c r="F228" s="13"/>
      <c r="G228" s="13" t="s">
        <v>273</v>
      </c>
      <c r="H228" s="13" t="s">
        <v>360</v>
      </c>
      <c r="I228" s="13"/>
      <c r="J228" s="13" t="s">
        <v>262</v>
      </c>
      <c r="K228" s="2" t="s">
        <v>546</v>
      </c>
      <c r="L228" s="2">
        <v>100</v>
      </c>
      <c r="M228" s="4">
        <v>46231</v>
      </c>
      <c r="AF228" s="2" t="s">
        <v>13</v>
      </c>
      <c r="AG228" s="4">
        <v>46060</v>
      </c>
      <c r="AH228" s="47" t="s">
        <v>556</v>
      </c>
      <c r="AI228" s="48">
        <f>AG228+210</f>
        <v>46270</v>
      </c>
      <c r="AJ228" s="48">
        <f>AG228+277</f>
        <v>46337</v>
      </c>
      <c r="AK228" s="49" t="s">
        <v>262</v>
      </c>
    </row>
    <row r="229" spans="1:39" x14ac:dyDescent="0.2">
      <c r="A229" s="13">
        <v>222</v>
      </c>
      <c r="B229" s="22" t="s">
        <v>361</v>
      </c>
      <c r="C229" s="13" t="s">
        <v>18</v>
      </c>
      <c r="D229" s="23">
        <v>45520</v>
      </c>
      <c r="E229" s="13"/>
      <c r="F229" s="13"/>
      <c r="G229" s="13" t="s">
        <v>345</v>
      </c>
      <c r="H229" s="13" t="s">
        <v>152</v>
      </c>
      <c r="I229" s="13"/>
      <c r="J229" s="13" t="s">
        <v>262</v>
      </c>
      <c r="K229" s="2" t="s">
        <v>546</v>
      </c>
      <c r="L229" s="2">
        <v>90</v>
      </c>
      <c r="M229" s="4">
        <v>46231</v>
      </c>
      <c r="AF229" s="4" t="s">
        <v>13</v>
      </c>
      <c r="AG229" s="4">
        <v>46054</v>
      </c>
      <c r="AH229" s="47" t="s">
        <v>528</v>
      </c>
      <c r="AI229" s="48">
        <f>AG229+210</f>
        <v>46264</v>
      </c>
      <c r="AJ229" s="48">
        <f>AG229+277</f>
        <v>46331</v>
      </c>
      <c r="AK229" s="49" t="s">
        <v>262</v>
      </c>
    </row>
    <row r="230" spans="1:39" x14ac:dyDescent="0.2">
      <c r="A230" s="13">
        <v>223</v>
      </c>
      <c r="B230" s="22" t="s">
        <v>362</v>
      </c>
      <c r="C230" s="13" t="s">
        <v>18</v>
      </c>
      <c r="D230" s="23">
        <v>45537</v>
      </c>
      <c r="E230" s="13"/>
      <c r="F230" s="13"/>
      <c r="G230" s="13" t="s">
        <v>273</v>
      </c>
      <c r="H230" s="13" t="s">
        <v>363</v>
      </c>
      <c r="I230" s="13"/>
      <c r="J230" s="13" t="s">
        <v>259</v>
      </c>
      <c r="K230" s="2" t="s">
        <v>546</v>
      </c>
      <c r="L230" s="2">
        <v>90</v>
      </c>
      <c r="M230" s="4">
        <v>46231</v>
      </c>
    </row>
    <row r="231" spans="1:39" x14ac:dyDescent="0.2">
      <c r="A231" s="13">
        <v>224</v>
      </c>
      <c r="B231" s="22" t="s">
        <v>364</v>
      </c>
      <c r="C231" s="13" t="s">
        <v>18</v>
      </c>
      <c r="D231" s="23">
        <v>45543</v>
      </c>
      <c r="E231" s="13"/>
      <c r="F231" s="13"/>
      <c r="G231" s="13" t="s">
        <v>365</v>
      </c>
      <c r="H231" s="13" t="s">
        <v>366</v>
      </c>
      <c r="I231" s="13"/>
      <c r="J231" s="13" t="s">
        <v>262</v>
      </c>
      <c r="K231" s="2" t="s">
        <v>546</v>
      </c>
      <c r="L231" s="2"/>
      <c r="M231" s="4">
        <v>46231</v>
      </c>
      <c r="AF231" s="2" t="s">
        <v>13</v>
      </c>
      <c r="AG231" s="4">
        <v>46138</v>
      </c>
      <c r="AH231" s="4" t="s">
        <v>560</v>
      </c>
      <c r="AI231" s="48">
        <f>AG231+210</f>
        <v>46348</v>
      </c>
      <c r="AJ231" s="48">
        <f>AG231+277</f>
        <v>46415</v>
      </c>
      <c r="AK231" s="49" t="s">
        <v>262</v>
      </c>
    </row>
    <row r="232" spans="1:39" x14ac:dyDescent="0.2">
      <c r="A232" s="13">
        <v>225</v>
      </c>
      <c r="B232" s="22" t="s">
        <v>367</v>
      </c>
      <c r="C232" s="13" t="s">
        <v>18</v>
      </c>
      <c r="D232" s="23">
        <v>45546</v>
      </c>
      <c r="E232" s="40"/>
      <c r="F232" s="40"/>
      <c r="G232" s="13" t="s">
        <v>343</v>
      </c>
      <c r="H232" s="13" t="s">
        <v>97</v>
      </c>
      <c r="I232" s="13"/>
      <c r="J232" s="13" t="s">
        <v>262</v>
      </c>
      <c r="K232" s="2" t="s">
        <v>546</v>
      </c>
      <c r="L232" s="2">
        <v>90</v>
      </c>
      <c r="M232" s="4">
        <v>46231</v>
      </c>
      <c r="AF232" s="2" t="s">
        <v>13</v>
      </c>
      <c r="AG232" s="4">
        <v>46039</v>
      </c>
      <c r="AH232" s="47" t="s">
        <v>12</v>
      </c>
      <c r="AI232" s="48">
        <f>AG232+210</f>
        <v>46249</v>
      </c>
      <c r="AJ232" s="48">
        <f>AG232+277</f>
        <v>46316</v>
      </c>
      <c r="AK232" s="49" t="s">
        <v>262</v>
      </c>
    </row>
    <row r="233" spans="1:39" x14ac:dyDescent="0.2">
      <c r="A233" s="13">
        <v>226</v>
      </c>
      <c r="B233" s="22" t="s">
        <v>368</v>
      </c>
      <c r="C233" s="13" t="s">
        <v>18</v>
      </c>
      <c r="D233" s="23">
        <v>45546</v>
      </c>
      <c r="E233" s="40"/>
      <c r="F233" s="40"/>
      <c r="G233" s="13" t="s">
        <v>356</v>
      </c>
      <c r="H233" s="13" t="s">
        <v>194</v>
      </c>
      <c r="I233" s="13"/>
      <c r="J233" s="13" t="s">
        <v>259</v>
      </c>
      <c r="K233" s="2" t="s">
        <v>546</v>
      </c>
      <c r="L233" s="2">
        <v>80</v>
      </c>
      <c r="M233" s="4">
        <v>46231</v>
      </c>
      <c r="N233" s="2" t="s">
        <v>13</v>
      </c>
      <c r="O233" s="4">
        <v>46219</v>
      </c>
      <c r="P233" s="4">
        <v>46243</v>
      </c>
      <c r="Q233" s="2" t="s">
        <v>49</v>
      </c>
      <c r="R233" s="2">
        <v>3</v>
      </c>
      <c r="S233" s="2" t="s">
        <v>570</v>
      </c>
      <c r="T233" s="2"/>
      <c r="AE233" s="2">
        <v>347</v>
      </c>
    </row>
    <row r="234" spans="1:39" x14ac:dyDescent="0.2">
      <c r="A234" s="13">
        <v>227</v>
      </c>
      <c r="B234" s="22" t="s">
        <v>369</v>
      </c>
      <c r="C234" s="13" t="s">
        <v>18</v>
      </c>
      <c r="D234" s="23">
        <v>45547</v>
      </c>
      <c r="E234" s="40"/>
      <c r="F234" s="40"/>
      <c r="G234" s="13" t="s">
        <v>273</v>
      </c>
      <c r="H234" s="13" t="s">
        <v>35</v>
      </c>
      <c r="I234" s="13"/>
      <c r="J234" s="13" t="s">
        <v>262</v>
      </c>
      <c r="K234" s="2" t="s">
        <v>546</v>
      </c>
      <c r="L234" s="2">
        <v>90</v>
      </c>
      <c r="M234" s="4">
        <v>46231</v>
      </c>
      <c r="AF234" s="2" t="s">
        <v>13</v>
      </c>
      <c r="AG234" s="4">
        <v>46048</v>
      </c>
      <c r="AH234" s="47" t="s">
        <v>537</v>
      </c>
      <c r="AI234" s="48">
        <f>AG234+210</f>
        <v>46258</v>
      </c>
      <c r="AJ234" s="48">
        <f>AG234+277</f>
        <v>46325</v>
      </c>
      <c r="AK234" s="49" t="s">
        <v>262</v>
      </c>
    </row>
    <row r="235" spans="1:39" x14ac:dyDescent="0.2">
      <c r="A235" s="13">
        <v>228</v>
      </c>
      <c r="B235" s="22" t="s">
        <v>370</v>
      </c>
      <c r="C235" s="13" t="s">
        <v>18</v>
      </c>
      <c r="D235" s="23">
        <v>45549</v>
      </c>
      <c r="E235" s="40"/>
      <c r="F235" s="40"/>
      <c r="G235" s="13" t="s">
        <v>343</v>
      </c>
      <c r="H235" s="13" t="s">
        <v>371</v>
      </c>
      <c r="I235" s="13"/>
      <c r="J235" s="13" t="s">
        <v>262</v>
      </c>
      <c r="K235" s="2" t="s">
        <v>546</v>
      </c>
      <c r="L235" s="2">
        <v>100</v>
      </c>
      <c r="M235" s="4">
        <v>46231</v>
      </c>
      <c r="AF235" s="2" t="s">
        <v>13</v>
      </c>
      <c r="AG235" s="4">
        <v>46130</v>
      </c>
      <c r="AH235" s="4" t="s">
        <v>405</v>
      </c>
      <c r="AI235" s="48">
        <f>AG235+210</f>
        <v>46340</v>
      </c>
      <c r="AJ235" s="48">
        <f>AG235+277</f>
        <v>46407</v>
      </c>
      <c r="AK235" s="49" t="s">
        <v>262</v>
      </c>
    </row>
    <row r="236" spans="1:39" x14ac:dyDescent="0.2">
      <c r="A236" s="13">
        <v>229</v>
      </c>
      <c r="B236" s="22" t="s">
        <v>372</v>
      </c>
      <c r="C236" s="13" t="s">
        <v>18</v>
      </c>
      <c r="D236" s="23">
        <v>45550</v>
      </c>
      <c r="E236" s="40"/>
      <c r="F236" s="40"/>
      <c r="G236" s="13" t="s">
        <v>343</v>
      </c>
      <c r="H236" s="13" t="s">
        <v>164</v>
      </c>
      <c r="I236" s="13"/>
      <c r="J236" s="13" t="s">
        <v>262</v>
      </c>
      <c r="K236" s="2" t="s">
        <v>546</v>
      </c>
      <c r="L236" s="2">
        <v>90</v>
      </c>
      <c r="M236" s="4">
        <v>46231</v>
      </c>
      <c r="AF236" s="2" t="s">
        <v>13</v>
      </c>
      <c r="AG236" s="4">
        <v>46069</v>
      </c>
      <c r="AH236" s="47" t="s">
        <v>554</v>
      </c>
      <c r="AI236" s="48">
        <f>AG236+210</f>
        <v>46279</v>
      </c>
      <c r="AJ236" s="48">
        <f>AG236+277</f>
        <v>46346</v>
      </c>
      <c r="AK236" s="49" t="s">
        <v>262</v>
      </c>
    </row>
    <row r="237" spans="1:39" x14ac:dyDescent="0.2">
      <c r="A237" s="13">
        <v>230</v>
      </c>
      <c r="B237" s="22" t="s">
        <v>373</v>
      </c>
      <c r="C237" s="13" t="s">
        <v>18</v>
      </c>
      <c r="D237" s="23">
        <v>45550</v>
      </c>
      <c r="E237" s="40"/>
      <c r="F237" s="40"/>
      <c r="G237" s="13" t="s">
        <v>343</v>
      </c>
      <c r="H237" s="13" t="s">
        <v>48</v>
      </c>
      <c r="I237" s="13"/>
      <c r="J237" s="13" t="s">
        <v>259</v>
      </c>
      <c r="K237" s="2" t="s">
        <v>546</v>
      </c>
      <c r="L237" s="2">
        <v>80</v>
      </c>
      <c r="M237" s="4">
        <v>46231</v>
      </c>
    </row>
    <row r="238" spans="1:39" x14ac:dyDescent="0.2">
      <c r="A238" s="13">
        <v>231</v>
      </c>
      <c r="B238" s="22" t="s">
        <v>374</v>
      </c>
      <c r="C238" s="13" t="s">
        <v>18</v>
      </c>
      <c r="D238" s="23">
        <v>45551</v>
      </c>
      <c r="E238" s="40"/>
      <c r="F238" s="40"/>
      <c r="G238" s="13" t="s">
        <v>343</v>
      </c>
      <c r="H238" s="13">
        <v>701</v>
      </c>
      <c r="I238" s="13"/>
      <c r="J238" s="13" t="s">
        <v>262</v>
      </c>
      <c r="K238" s="2" t="s">
        <v>546</v>
      </c>
      <c r="L238" s="2"/>
      <c r="M238" s="4">
        <v>46231</v>
      </c>
      <c r="AF238" s="2" t="s">
        <v>13</v>
      </c>
      <c r="AG238" s="4">
        <v>46133</v>
      </c>
      <c r="AH238" s="4" t="s">
        <v>558</v>
      </c>
      <c r="AI238" s="48">
        <f t="shared" ref="AI238:AI246" si="0">AG238+210</f>
        <v>46343</v>
      </c>
      <c r="AJ238" s="48">
        <f t="shared" ref="AJ238:AJ246" si="1">AG238+277</f>
        <v>46410</v>
      </c>
      <c r="AK238" s="49" t="s">
        <v>262</v>
      </c>
    </row>
    <row r="239" spans="1:39" x14ac:dyDescent="0.2">
      <c r="A239" s="13">
        <v>232</v>
      </c>
      <c r="B239" s="22" t="s">
        <v>375</v>
      </c>
      <c r="C239" s="13" t="s">
        <v>18</v>
      </c>
      <c r="D239" s="23">
        <v>45561</v>
      </c>
      <c r="E239" s="40"/>
      <c r="F239" s="40"/>
      <c r="G239" s="13" t="s">
        <v>343</v>
      </c>
      <c r="H239" s="13" t="s">
        <v>176</v>
      </c>
      <c r="I239" s="13"/>
      <c r="J239" s="13" t="s">
        <v>262</v>
      </c>
      <c r="K239" s="2" t="s">
        <v>546</v>
      </c>
      <c r="L239" s="2">
        <v>80</v>
      </c>
      <c r="M239" s="4">
        <v>46231</v>
      </c>
      <c r="AF239" s="2" t="s">
        <v>13</v>
      </c>
      <c r="AG239" s="4">
        <v>46091</v>
      </c>
      <c r="AH239" s="47" t="s">
        <v>556</v>
      </c>
      <c r="AI239" s="48">
        <f t="shared" si="0"/>
        <v>46301</v>
      </c>
      <c r="AJ239" s="48">
        <f t="shared" si="1"/>
        <v>46368</v>
      </c>
      <c r="AK239" s="50" t="s">
        <v>262</v>
      </c>
    </row>
    <row r="240" spans="1:39" x14ac:dyDescent="0.2">
      <c r="A240" s="13">
        <v>233</v>
      </c>
      <c r="B240" s="22" t="s">
        <v>376</v>
      </c>
      <c r="C240" s="13" t="s">
        <v>18</v>
      </c>
      <c r="D240" s="23">
        <v>45562</v>
      </c>
      <c r="E240" s="40"/>
      <c r="F240" s="40"/>
      <c r="G240" s="13" t="s">
        <v>356</v>
      </c>
      <c r="H240" s="13" t="s">
        <v>306</v>
      </c>
      <c r="I240" s="13"/>
      <c r="J240" s="13" t="s">
        <v>262</v>
      </c>
      <c r="K240" s="2" t="s">
        <v>546</v>
      </c>
      <c r="L240" s="2">
        <v>100</v>
      </c>
      <c r="M240" s="4">
        <v>46231</v>
      </c>
      <c r="AF240" s="2" t="s">
        <v>13</v>
      </c>
      <c r="AG240" s="4">
        <v>46108</v>
      </c>
      <c r="AH240" s="4" t="s">
        <v>556</v>
      </c>
      <c r="AI240" s="48">
        <f t="shared" si="0"/>
        <v>46318</v>
      </c>
      <c r="AJ240" s="48">
        <f t="shared" si="1"/>
        <v>46385</v>
      </c>
      <c r="AK240" s="49" t="s">
        <v>262</v>
      </c>
    </row>
    <row r="241" spans="1:40" x14ac:dyDescent="0.2">
      <c r="A241" s="13">
        <v>234</v>
      </c>
      <c r="B241" s="22" t="s">
        <v>377</v>
      </c>
      <c r="C241" s="13" t="s">
        <v>18</v>
      </c>
      <c r="D241" s="23">
        <v>45575</v>
      </c>
      <c r="E241" s="13"/>
      <c r="F241" s="13"/>
      <c r="G241" s="13" t="s">
        <v>365</v>
      </c>
      <c r="H241" s="13" t="s">
        <v>72</v>
      </c>
      <c r="I241" s="13"/>
      <c r="J241" s="13" t="s">
        <v>262</v>
      </c>
      <c r="K241" s="2" t="s">
        <v>546</v>
      </c>
      <c r="L241" s="2">
        <v>90</v>
      </c>
      <c r="M241" s="4">
        <v>46231</v>
      </c>
      <c r="AF241" s="2" t="s">
        <v>13</v>
      </c>
      <c r="AG241" s="4">
        <v>46060</v>
      </c>
      <c r="AH241" s="47" t="s">
        <v>556</v>
      </c>
      <c r="AI241" s="48">
        <f t="shared" si="0"/>
        <v>46270</v>
      </c>
      <c r="AJ241" s="48">
        <f t="shared" si="1"/>
        <v>46337</v>
      </c>
      <c r="AK241" s="49" t="s">
        <v>262</v>
      </c>
    </row>
    <row r="242" spans="1:40" x14ac:dyDescent="0.2">
      <c r="A242" s="13">
        <v>235</v>
      </c>
      <c r="B242" s="22" t="s">
        <v>378</v>
      </c>
      <c r="C242" s="13" t="s">
        <v>18</v>
      </c>
      <c r="D242" s="23">
        <v>45578</v>
      </c>
      <c r="E242" s="13"/>
      <c r="F242" s="13"/>
      <c r="G242" s="13" t="s">
        <v>365</v>
      </c>
      <c r="H242" s="13" t="s">
        <v>366</v>
      </c>
      <c r="I242" s="13"/>
      <c r="J242" s="13" t="s">
        <v>262</v>
      </c>
      <c r="K242" s="2" t="s">
        <v>546</v>
      </c>
      <c r="L242" s="2">
        <v>80</v>
      </c>
      <c r="M242" s="4">
        <v>46231</v>
      </c>
      <c r="AF242" s="4" t="s">
        <v>13</v>
      </c>
      <c r="AG242" s="4">
        <v>46053</v>
      </c>
      <c r="AH242" s="47" t="s">
        <v>556</v>
      </c>
      <c r="AI242" s="48">
        <f t="shared" si="0"/>
        <v>46263</v>
      </c>
      <c r="AJ242" s="48">
        <f t="shared" si="1"/>
        <v>46330</v>
      </c>
      <c r="AK242" s="49" t="s">
        <v>262</v>
      </c>
    </row>
    <row r="243" spans="1:40" x14ac:dyDescent="0.2">
      <c r="A243" s="13">
        <v>236</v>
      </c>
      <c r="B243" s="22" t="s">
        <v>379</v>
      </c>
      <c r="C243" s="13" t="s">
        <v>18</v>
      </c>
      <c r="D243" s="23">
        <v>45580</v>
      </c>
      <c r="E243" s="13"/>
      <c r="F243" s="13"/>
      <c r="G243" s="13" t="s">
        <v>365</v>
      </c>
      <c r="H243" s="13" t="s">
        <v>205</v>
      </c>
      <c r="I243" s="13"/>
      <c r="J243" s="13" t="s">
        <v>262</v>
      </c>
      <c r="K243" s="2" t="s">
        <v>546</v>
      </c>
      <c r="L243" s="2">
        <v>80</v>
      </c>
      <c r="M243" s="4">
        <v>46231</v>
      </c>
      <c r="AF243" s="2" t="s">
        <v>13</v>
      </c>
      <c r="AG243" s="4">
        <v>46083</v>
      </c>
      <c r="AH243" s="47" t="s">
        <v>537</v>
      </c>
      <c r="AI243" s="48">
        <f t="shared" si="0"/>
        <v>46293</v>
      </c>
      <c r="AJ243" s="48">
        <f t="shared" si="1"/>
        <v>46360</v>
      </c>
      <c r="AK243" s="49" t="s">
        <v>262</v>
      </c>
    </row>
    <row r="244" spans="1:40" x14ac:dyDescent="0.2">
      <c r="A244" s="13">
        <v>237</v>
      </c>
      <c r="B244" s="22" t="s">
        <v>380</v>
      </c>
      <c r="C244" s="13" t="s">
        <v>18</v>
      </c>
      <c r="D244" s="23">
        <v>45586</v>
      </c>
      <c r="E244" s="13"/>
      <c r="F244" s="13"/>
      <c r="G244" s="13" t="s">
        <v>365</v>
      </c>
      <c r="H244" s="13" t="s">
        <v>222</v>
      </c>
      <c r="I244" s="13"/>
      <c r="J244" s="13" t="s">
        <v>262</v>
      </c>
      <c r="K244" s="2" t="s">
        <v>546</v>
      </c>
      <c r="L244" s="2">
        <v>80</v>
      </c>
      <c r="M244" s="4">
        <v>46231</v>
      </c>
      <c r="AF244" s="2" t="s">
        <v>13</v>
      </c>
      <c r="AG244" s="4">
        <v>46112</v>
      </c>
      <c r="AH244" s="4" t="s">
        <v>528</v>
      </c>
      <c r="AI244" s="48">
        <f t="shared" si="0"/>
        <v>46322</v>
      </c>
      <c r="AJ244" s="48">
        <f t="shared" si="1"/>
        <v>46389</v>
      </c>
      <c r="AK244" s="49" t="s">
        <v>262</v>
      </c>
    </row>
    <row r="245" spans="1:40" x14ac:dyDescent="0.2">
      <c r="A245" s="13">
        <v>238</v>
      </c>
      <c r="B245" s="22" t="s">
        <v>381</v>
      </c>
      <c r="C245" s="13" t="s">
        <v>63</v>
      </c>
      <c r="D245" s="23">
        <v>45589</v>
      </c>
      <c r="E245" s="13"/>
      <c r="F245" s="13"/>
      <c r="G245" s="13" t="s">
        <v>309</v>
      </c>
      <c r="H245" s="13" t="s">
        <v>126</v>
      </c>
      <c r="I245" s="13"/>
      <c r="J245" s="13" t="s">
        <v>262</v>
      </c>
      <c r="K245" s="2" t="s">
        <v>546</v>
      </c>
      <c r="L245" s="2"/>
      <c r="M245" s="4">
        <v>46231</v>
      </c>
      <c r="AF245" s="2" t="s">
        <v>13</v>
      </c>
      <c r="AG245" s="4">
        <v>46076</v>
      </c>
      <c r="AH245" s="47" t="s">
        <v>537</v>
      </c>
      <c r="AI245" s="48">
        <f t="shared" si="0"/>
        <v>46286</v>
      </c>
      <c r="AJ245" s="48">
        <f t="shared" si="1"/>
        <v>46353</v>
      </c>
      <c r="AK245" s="49" t="s">
        <v>262</v>
      </c>
    </row>
    <row r="246" spans="1:40" x14ac:dyDescent="0.2">
      <c r="A246" s="13">
        <v>239</v>
      </c>
      <c r="B246" s="22" t="s">
        <v>382</v>
      </c>
      <c r="C246" s="13" t="s">
        <v>63</v>
      </c>
      <c r="D246" s="23">
        <v>45592</v>
      </c>
      <c r="E246" s="13"/>
      <c r="F246" s="13"/>
      <c r="G246" s="13" t="s">
        <v>278</v>
      </c>
      <c r="H246" s="13">
        <v>70</v>
      </c>
      <c r="I246" s="13"/>
      <c r="J246" s="13" t="s">
        <v>262</v>
      </c>
      <c r="K246" s="2" t="s">
        <v>546</v>
      </c>
      <c r="L246" s="2">
        <v>90</v>
      </c>
      <c r="M246" s="4">
        <v>46231</v>
      </c>
      <c r="AF246" s="2" t="s">
        <v>13</v>
      </c>
      <c r="AG246" s="4">
        <v>46106</v>
      </c>
      <c r="AH246" s="4" t="s">
        <v>556</v>
      </c>
      <c r="AI246" s="48">
        <f t="shared" si="0"/>
        <v>46316</v>
      </c>
      <c r="AJ246" s="48">
        <f t="shared" si="1"/>
        <v>46383</v>
      </c>
      <c r="AK246" s="49" t="s">
        <v>262</v>
      </c>
    </row>
    <row r="247" spans="1:40" x14ac:dyDescent="0.2">
      <c r="A247" s="13">
        <v>240</v>
      </c>
      <c r="B247" s="22" t="s">
        <v>383</v>
      </c>
      <c r="C247" s="13" t="s">
        <v>63</v>
      </c>
      <c r="D247" s="23">
        <v>45593</v>
      </c>
      <c r="E247" s="13"/>
      <c r="F247" s="13"/>
      <c r="G247" s="13" t="s">
        <v>309</v>
      </c>
      <c r="H247" s="13">
        <v>509</v>
      </c>
      <c r="I247" s="13"/>
      <c r="J247" s="13" t="s">
        <v>259</v>
      </c>
      <c r="K247" s="2" t="s">
        <v>546</v>
      </c>
      <c r="L247" s="2">
        <v>80</v>
      </c>
      <c r="M247" s="4">
        <v>46231</v>
      </c>
    </row>
    <row r="248" spans="1:40" x14ac:dyDescent="0.2">
      <c r="A248" s="13">
        <v>241</v>
      </c>
      <c r="B248" s="22" t="s">
        <v>384</v>
      </c>
      <c r="C248" s="13" t="s">
        <v>63</v>
      </c>
      <c r="D248" s="23">
        <v>45593</v>
      </c>
      <c r="E248" s="13"/>
      <c r="F248" s="13"/>
      <c r="G248" s="13" t="s">
        <v>273</v>
      </c>
      <c r="H248" s="13" t="s">
        <v>255</v>
      </c>
      <c r="I248" s="13"/>
      <c r="J248" s="13" t="s">
        <v>262</v>
      </c>
      <c r="K248" s="2" t="s">
        <v>546</v>
      </c>
      <c r="L248" s="2">
        <v>80</v>
      </c>
      <c r="M248" s="4">
        <v>46231</v>
      </c>
      <c r="AF248" s="51" t="s">
        <v>13</v>
      </c>
      <c r="AG248" s="52">
        <v>46174</v>
      </c>
      <c r="AH248" s="4" t="s">
        <v>560</v>
      </c>
      <c r="AI248" s="48">
        <f>AG248+210</f>
        <v>46384</v>
      </c>
      <c r="AJ248" s="48">
        <f>AG248+277</f>
        <v>46451</v>
      </c>
      <c r="AK248" s="49" t="s">
        <v>262</v>
      </c>
    </row>
    <row r="249" spans="1:40" x14ac:dyDescent="0.2">
      <c r="A249" s="13">
        <v>242</v>
      </c>
      <c r="B249" s="22" t="s">
        <v>385</v>
      </c>
      <c r="C249" s="13" t="s">
        <v>18</v>
      </c>
      <c r="D249" s="23">
        <v>45599</v>
      </c>
      <c r="E249" s="13"/>
      <c r="F249" s="13"/>
      <c r="G249" s="13" t="s">
        <v>365</v>
      </c>
      <c r="H249" s="13" t="s">
        <v>69</v>
      </c>
      <c r="I249" s="13"/>
      <c r="J249" s="13" t="s">
        <v>262</v>
      </c>
      <c r="K249" s="2" t="s">
        <v>546</v>
      </c>
      <c r="L249" s="2">
        <v>80</v>
      </c>
      <c r="M249" s="4">
        <v>46231</v>
      </c>
      <c r="AF249" s="2" t="s">
        <v>13</v>
      </c>
      <c r="AG249" s="4">
        <v>46203</v>
      </c>
      <c r="AH249" s="4" t="s">
        <v>12</v>
      </c>
      <c r="AI249" s="48">
        <f>AG249+210</f>
        <v>46413</v>
      </c>
      <c r="AJ249" s="48">
        <f>AG249+277</f>
        <v>46480</v>
      </c>
      <c r="AK249" s="50" t="s">
        <v>262</v>
      </c>
    </row>
    <row r="250" spans="1:40" x14ac:dyDescent="0.2">
      <c r="A250" s="13">
        <v>243</v>
      </c>
      <c r="B250" s="22" t="s">
        <v>386</v>
      </c>
      <c r="C250" s="13" t="s">
        <v>18</v>
      </c>
      <c r="D250" s="23">
        <v>45605</v>
      </c>
      <c r="E250" s="13"/>
      <c r="F250" s="13"/>
      <c r="G250" s="13" t="s">
        <v>365</v>
      </c>
      <c r="H250" s="13" t="s">
        <v>86</v>
      </c>
      <c r="I250" s="13"/>
      <c r="J250" s="13" t="s">
        <v>262</v>
      </c>
      <c r="K250" s="2" t="s">
        <v>546</v>
      </c>
      <c r="L250" s="2">
        <v>90</v>
      </c>
      <c r="M250" s="4">
        <v>46231</v>
      </c>
      <c r="AF250" s="2" t="s">
        <v>13</v>
      </c>
      <c r="AG250" s="4">
        <v>46108</v>
      </c>
      <c r="AH250" s="4" t="s">
        <v>556</v>
      </c>
      <c r="AI250" s="48">
        <f>AG250+210</f>
        <v>46318</v>
      </c>
      <c r="AJ250" s="48">
        <f>AG250+277</f>
        <v>46385</v>
      </c>
      <c r="AK250" s="49" t="s">
        <v>262</v>
      </c>
    </row>
    <row r="251" spans="1:40" x14ac:dyDescent="0.2">
      <c r="A251" s="13">
        <v>244</v>
      </c>
      <c r="B251" s="22" t="s">
        <v>387</v>
      </c>
      <c r="C251" s="13" t="s">
        <v>18</v>
      </c>
      <c r="D251" s="23">
        <v>45613</v>
      </c>
      <c r="E251" s="13"/>
      <c r="F251" s="13"/>
      <c r="G251" s="13" t="s">
        <v>365</v>
      </c>
      <c r="H251" s="13" t="s">
        <v>388</v>
      </c>
      <c r="I251" s="13"/>
      <c r="J251" s="13" t="s">
        <v>262</v>
      </c>
      <c r="K251" s="2" t="s">
        <v>546</v>
      </c>
      <c r="L251" s="2">
        <v>100</v>
      </c>
      <c r="M251" s="4">
        <v>46231</v>
      </c>
      <c r="AF251" s="2" t="s">
        <v>13</v>
      </c>
      <c r="AG251" s="4">
        <v>46091</v>
      </c>
      <c r="AH251" s="47" t="s">
        <v>528</v>
      </c>
      <c r="AI251" s="48">
        <f>AG251+210</f>
        <v>46301</v>
      </c>
      <c r="AJ251" s="48">
        <f>AG251+277</f>
        <v>46368</v>
      </c>
      <c r="AK251" s="50" t="s">
        <v>262</v>
      </c>
    </row>
    <row r="252" spans="1:40" x14ac:dyDescent="0.2">
      <c r="A252" s="13">
        <v>245</v>
      </c>
      <c r="B252" s="22" t="s">
        <v>389</v>
      </c>
      <c r="C252" s="13" t="s">
        <v>18</v>
      </c>
      <c r="D252" s="23">
        <v>45624</v>
      </c>
      <c r="E252" s="13"/>
      <c r="F252" s="13"/>
      <c r="G252" s="13" t="s">
        <v>273</v>
      </c>
      <c r="H252" s="13" t="s">
        <v>390</v>
      </c>
      <c r="I252" s="13"/>
      <c r="J252" s="13" t="s">
        <v>259</v>
      </c>
      <c r="K252" s="2" t="s">
        <v>546</v>
      </c>
      <c r="L252" s="2">
        <v>80</v>
      </c>
      <c r="M252" s="4">
        <v>46231</v>
      </c>
      <c r="AL252" s="2">
        <v>281</v>
      </c>
      <c r="AM252" s="2">
        <v>264</v>
      </c>
      <c r="AN252" s="7">
        <f>AM252-AL252</f>
        <v>-17</v>
      </c>
    </row>
    <row r="253" spans="1:40" x14ac:dyDescent="0.2">
      <c r="A253" s="13">
        <v>246</v>
      </c>
      <c r="B253" s="22" t="s">
        <v>391</v>
      </c>
      <c r="C253" s="13" t="s">
        <v>18</v>
      </c>
      <c r="D253" s="23">
        <v>45625</v>
      </c>
      <c r="E253" s="13"/>
      <c r="F253" s="13"/>
      <c r="G253" s="13" t="s">
        <v>392</v>
      </c>
      <c r="H253" s="13" t="s">
        <v>185</v>
      </c>
      <c r="I253" s="13"/>
      <c r="J253" s="13" t="s">
        <v>262</v>
      </c>
      <c r="K253" s="2" t="s">
        <v>546</v>
      </c>
      <c r="L253" s="2">
        <v>80</v>
      </c>
      <c r="M253" s="4">
        <v>46231</v>
      </c>
      <c r="AF253" s="2" t="s">
        <v>13</v>
      </c>
      <c r="AG253" s="4">
        <v>46142</v>
      </c>
      <c r="AH253" s="4" t="s">
        <v>12</v>
      </c>
      <c r="AI253" s="48">
        <f>AG253+210</f>
        <v>46352</v>
      </c>
      <c r="AJ253" s="48">
        <f>AG253+277</f>
        <v>46419</v>
      </c>
      <c r="AK253" s="49" t="s">
        <v>262</v>
      </c>
    </row>
    <row r="254" spans="1:40" x14ac:dyDescent="0.2">
      <c r="A254" s="13">
        <v>247</v>
      </c>
      <c r="B254" s="22" t="s">
        <v>393</v>
      </c>
      <c r="C254" s="13" t="s">
        <v>18</v>
      </c>
      <c r="D254" s="23">
        <v>45626</v>
      </c>
      <c r="E254" s="13"/>
      <c r="F254" s="13"/>
      <c r="G254" s="13" t="s">
        <v>365</v>
      </c>
      <c r="H254" s="13" t="s">
        <v>394</v>
      </c>
      <c r="I254" s="13"/>
      <c r="J254" s="13" t="s">
        <v>262</v>
      </c>
      <c r="K254" s="2" t="s">
        <v>546</v>
      </c>
      <c r="L254" s="2">
        <v>80</v>
      </c>
      <c r="M254" s="4">
        <v>46231</v>
      </c>
      <c r="AF254" s="51" t="s">
        <v>13</v>
      </c>
      <c r="AG254" s="52">
        <v>46177</v>
      </c>
      <c r="AH254" s="4" t="s">
        <v>12</v>
      </c>
      <c r="AI254" s="48">
        <f>AG254+210</f>
        <v>46387</v>
      </c>
      <c r="AJ254" s="48">
        <f>AG254+277</f>
        <v>46454</v>
      </c>
      <c r="AK254" s="50" t="s">
        <v>262</v>
      </c>
    </row>
    <row r="255" spans="1:40" x14ac:dyDescent="0.2">
      <c r="A255" s="13">
        <v>248</v>
      </c>
      <c r="B255" s="22" t="s">
        <v>395</v>
      </c>
      <c r="C255" s="13" t="s">
        <v>18</v>
      </c>
      <c r="D255" s="23">
        <v>45627</v>
      </c>
      <c r="E255" s="13"/>
      <c r="F255" s="13"/>
      <c r="G255" s="13" t="s">
        <v>365</v>
      </c>
      <c r="H255" s="13" t="s">
        <v>154</v>
      </c>
      <c r="I255" s="13"/>
      <c r="J255" s="13" t="s">
        <v>259</v>
      </c>
      <c r="K255" s="2" t="s">
        <v>546</v>
      </c>
      <c r="L255" s="2">
        <v>80</v>
      </c>
      <c r="M255" s="4">
        <v>46231</v>
      </c>
    </row>
    <row r="256" spans="1:40" x14ac:dyDescent="0.2">
      <c r="A256" s="13">
        <v>249</v>
      </c>
      <c r="B256" s="22" t="s">
        <v>396</v>
      </c>
      <c r="C256" s="13" t="s">
        <v>18</v>
      </c>
      <c r="D256" s="23">
        <v>45628</v>
      </c>
      <c r="E256" s="13"/>
      <c r="F256" s="13"/>
      <c r="G256" s="13" t="s">
        <v>365</v>
      </c>
      <c r="H256" s="13">
        <v>611</v>
      </c>
      <c r="I256" s="13"/>
      <c r="J256" s="13" t="s">
        <v>262</v>
      </c>
      <c r="K256" s="2" t="s">
        <v>546</v>
      </c>
      <c r="L256" s="2"/>
      <c r="M256" s="4">
        <v>46231</v>
      </c>
      <c r="AF256" s="2" t="s">
        <v>13</v>
      </c>
      <c r="AG256" s="4">
        <v>46203</v>
      </c>
      <c r="AH256" s="4" t="s">
        <v>12</v>
      </c>
      <c r="AI256" s="48">
        <f>AG256+210</f>
        <v>46413</v>
      </c>
      <c r="AJ256" s="48">
        <f>AG256+277</f>
        <v>46480</v>
      </c>
      <c r="AK256" s="50" t="s">
        <v>262</v>
      </c>
    </row>
    <row r="257" spans="1:40" x14ac:dyDescent="0.2">
      <c r="A257" s="13">
        <v>250</v>
      </c>
      <c r="B257" s="22" t="s">
        <v>397</v>
      </c>
      <c r="C257" s="13" t="s">
        <v>18</v>
      </c>
      <c r="D257" s="23">
        <v>45631</v>
      </c>
      <c r="E257" s="13"/>
      <c r="F257" s="13"/>
      <c r="G257" s="13" t="s">
        <v>365</v>
      </c>
      <c r="H257" s="13" t="s">
        <v>80</v>
      </c>
      <c r="I257" s="13"/>
      <c r="J257" s="13" t="s">
        <v>259</v>
      </c>
      <c r="K257" s="2" t="s">
        <v>546</v>
      </c>
      <c r="L257" s="2"/>
      <c r="M257" s="4">
        <v>46231</v>
      </c>
    </row>
    <row r="258" spans="1:40" x14ac:dyDescent="0.2">
      <c r="A258" s="13">
        <v>251</v>
      </c>
      <c r="B258" s="22" t="s">
        <v>398</v>
      </c>
      <c r="C258" s="13" t="s">
        <v>18</v>
      </c>
      <c r="D258" s="23">
        <v>45636</v>
      </c>
      <c r="E258" s="13"/>
      <c r="F258" s="13"/>
      <c r="G258" s="13" t="s">
        <v>303</v>
      </c>
      <c r="H258" s="13" t="s">
        <v>399</v>
      </c>
      <c r="I258" s="13"/>
      <c r="J258" s="13" t="s">
        <v>259</v>
      </c>
      <c r="K258" s="2" t="s">
        <v>546</v>
      </c>
      <c r="L258" s="2">
        <v>80</v>
      </c>
      <c r="M258" s="4">
        <v>46231</v>
      </c>
      <c r="N258" s="2" t="s">
        <v>13</v>
      </c>
      <c r="O258" s="4">
        <v>46219</v>
      </c>
      <c r="P258" s="4">
        <v>46239</v>
      </c>
      <c r="Q258" s="2" t="s">
        <v>49</v>
      </c>
      <c r="R258" s="2">
        <v>4</v>
      </c>
      <c r="S258" s="2" t="s">
        <v>570</v>
      </c>
      <c r="T258" s="2"/>
      <c r="AE258" s="2">
        <v>341</v>
      </c>
    </row>
    <row r="259" spans="1:40" x14ac:dyDescent="0.2">
      <c r="A259" s="13">
        <v>252</v>
      </c>
      <c r="B259" s="22" t="s">
        <v>400</v>
      </c>
      <c r="C259" s="13" t="s">
        <v>18</v>
      </c>
      <c r="D259" s="23">
        <v>45636</v>
      </c>
      <c r="E259" s="13"/>
      <c r="F259" s="13"/>
      <c r="G259" s="13" t="s">
        <v>365</v>
      </c>
      <c r="H259" s="13" t="s">
        <v>167</v>
      </c>
      <c r="I259" s="13"/>
      <c r="J259" s="13" t="s">
        <v>262</v>
      </c>
      <c r="K259" s="2" t="s">
        <v>546</v>
      </c>
      <c r="L259" s="2">
        <v>80</v>
      </c>
      <c r="M259" s="4">
        <v>46231</v>
      </c>
      <c r="AF259" s="51" t="s">
        <v>13</v>
      </c>
      <c r="AG259" s="52">
        <v>46181</v>
      </c>
      <c r="AH259" s="4" t="s">
        <v>12</v>
      </c>
      <c r="AI259" s="48">
        <f>AG259+210</f>
        <v>46391</v>
      </c>
      <c r="AJ259" s="48">
        <f>AG259+277</f>
        <v>46458</v>
      </c>
      <c r="AK259" s="50" t="s">
        <v>262</v>
      </c>
    </row>
    <row r="260" spans="1:40" x14ac:dyDescent="0.2">
      <c r="A260" s="13">
        <v>253</v>
      </c>
      <c r="B260" s="22" t="s">
        <v>401</v>
      </c>
      <c r="C260" s="13" t="s">
        <v>18</v>
      </c>
      <c r="D260" s="23">
        <v>45636</v>
      </c>
      <c r="E260" s="13"/>
      <c r="F260" s="13"/>
      <c r="G260" s="13" t="s">
        <v>273</v>
      </c>
      <c r="H260" s="13" t="s">
        <v>402</v>
      </c>
      <c r="I260" s="13"/>
      <c r="J260" s="13" t="s">
        <v>262</v>
      </c>
      <c r="K260" s="2" t="s">
        <v>546</v>
      </c>
      <c r="L260" s="2">
        <v>80</v>
      </c>
      <c r="M260" s="4">
        <v>46231</v>
      </c>
      <c r="AF260" s="2" t="s">
        <v>13</v>
      </c>
      <c r="AG260" s="4">
        <v>46133</v>
      </c>
      <c r="AH260" s="4" t="s">
        <v>558</v>
      </c>
      <c r="AI260" s="48">
        <f>AG260+210</f>
        <v>46343</v>
      </c>
      <c r="AJ260" s="48">
        <f>AG260+277</f>
        <v>46410</v>
      </c>
      <c r="AK260" s="49" t="s">
        <v>262</v>
      </c>
    </row>
    <row r="261" spans="1:40" x14ac:dyDescent="0.2">
      <c r="A261" s="13">
        <v>254</v>
      </c>
      <c r="B261" s="22" t="s">
        <v>403</v>
      </c>
      <c r="C261" s="13" t="s">
        <v>18</v>
      </c>
      <c r="D261" s="23">
        <v>45645</v>
      </c>
      <c r="E261" s="13"/>
      <c r="F261" s="13"/>
      <c r="G261" s="13" t="s">
        <v>345</v>
      </c>
      <c r="H261" s="13" t="s">
        <v>77</v>
      </c>
      <c r="I261" s="13"/>
      <c r="J261" s="13" t="s">
        <v>262</v>
      </c>
      <c r="K261" s="2" t="s">
        <v>546</v>
      </c>
      <c r="L261" s="2">
        <v>80</v>
      </c>
      <c r="M261" s="4">
        <v>46231</v>
      </c>
      <c r="AF261" s="2" t="s">
        <v>13</v>
      </c>
      <c r="AG261" s="4">
        <v>46133</v>
      </c>
      <c r="AH261" s="4" t="s">
        <v>558</v>
      </c>
      <c r="AI261" s="48">
        <f>AG261+210</f>
        <v>46343</v>
      </c>
      <c r="AJ261" s="48">
        <f>AG261+277</f>
        <v>46410</v>
      </c>
      <c r="AK261" s="49" t="s">
        <v>262</v>
      </c>
    </row>
    <row r="262" spans="1:40" x14ac:dyDescent="0.2">
      <c r="A262" s="13">
        <v>255</v>
      </c>
      <c r="B262" s="22" t="s">
        <v>404</v>
      </c>
      <c r="C262" s="13" t="s">
        <v>18</v>
      </c>
      <c r="D262" s="23">
        <v>45664</v>
      </c>
      <c r="E262" s="13"/>
      <c r="F262" s="13"/>
      <c r="G262" s="13" t="s">
        <v>405</v>
      </c>
      <c r="H262" s="13">
        <v>603</v>
      </c>
      <c r="I262" s="40"/>
      <c r="J262" s="13" t="s">
        <v>259</v>
      </c>
      <c r="K262" s="2" t="s">
        <v>546</v>
      </c>
      <c r="L262" s="2">
        <v>80</v>
      </c>
      <c r="M262" s="4">
        <v>46231</v>
      </c>
    </row>
    <row r="263" spans="1:40" x14ac:dyDescent="0.2">
      <c r="A263" s="13">
        <v>256</v>
      </c>
      <c r="B263" s="22" t="s">
        <v>406</v>
      </c>
      <c r="C263" s="13" t="s">
        <v>18</v>
      </c>
      <c r="D263" s="23">
        <v>45669</v>
      </c>
      <c r="E263" s="13"/>
      <c r="F263" s="13"/>
      <c r="G263" s="13" t="s">
        <v>273</v>
      </c>
      <c r="H263" s="13" t="s">
        <v>211</v>
      </c>
      <c r="I263" s="40"/>
      <c r="J263" s="13" t="s">
        <v>259</v>
      </c>
      <c r="K263" s="2" t="s">
        <v>546</v>
      </c>
      <c r="L263" s="2">
        <v>80</v>
      </c>
      <c r="M263" s="4">
        <v>46231</v>
      </c>
    </row>
    <row r="264" spans="1:40" x14ac:dyDescent="0.2">
      <c r="A264" s="13">
        <v>257</v>
      </c>
      <c r="B264" s="22" t="s">
        <v>407</v>
      </c>
      <c r="C264" s="13" t="s">
        <v>18</v>
      </c>
      <c r="D264" s="23">
        <v>45670</v>
      </c>
      <c r="E264" s="13"/>
      <c r="F264" s="13"/>
      <c r="G264" s="13" t="s">
        <v>408</v>
      </c>
      <c r="H264" s="13" t="s">
        <v>146</v>
      </c>
      <c r="I264" s="40"/>
      <c r="J264" s="13" t="s">
        <v>259</v>
      </c>
      <c r="K264" s="2" t="s">
        <v>546</v>
      </c>
      <c r="L264" s="2">
        <v>80</v>
      </c>
      <c r="M264" s="4">
        <v>46231</v>
      </c>
      <c r="N264" s="2" t="s">
        <v>13</v>
      </c>
      <c r="O264" s="4">
        <v>46169</v>
      </c>
      <c r="P264" s="4">
        <v>46245</v>
      </c>
      <c r="Q264" s="2" t="s">
        <v>571</v>
      </c>
      <c r="R264" s="2">
        <v>1</v>
      </c>
      <c r="S264" s="2" t="s">
        <v>570</v>
      </c>
      <c r="T264" s="2"/>
      <c r="AE264" s="2">
        <v>351</v>
      </c>
    </row>
    <row r="265" spans="1:40" x14ac:dyDescent="0.2">
      <c r="A265" s="13">
        <v>258</v>
      </c>
      <c r="B265" s="22" t="s">
        <v>409</v>
      </c>
      <c r="C265" s="13" t="s">
        <v>18</v>
      </c>
      <c r="D265" s="23">
        <v>45678</v>
      </c>
      <c r="E265" s="13"/>
      <c r="F265" s="13"/>
      <c r="G265" s="13" t="s">
        <v>273</v>
      </c>
      <c r="H265" s="13" t="s">
        <v>220</v>
      </c>
      <c r="I265" s="40"/>
      <c r="J265" s="13" t="s">
        <v>262</v>
      </c>
      <c r="K265" s="2" t="s">
        <v>546</v>
      </c>
      <c r="L265" s="2">
        <v>80</v>
      </c>
      <c r="M265" s="4">
        <v>46231</v>
      </c>
      <c r="AF265" s="2" t="s">
        <v>13</v>
      </c>
      <c r="AG265" s="4">
        <v>46166</v>
      </c>
      <c r="AH265" s="4" t="s">
        <v>560</v>
      </c>
      <c r="AI265" s="48">
        <f>AG265+210</f>
        <v>46376</v>
      </c>
      <c r="AJ265" s="48">
        <f>AG265+277</f>
        <v>46443</v>
      </c>
      <c r="AK265" s="49" t="s">
        <v>262</v>
      </c>
    </row>
    <row r="266" spans="1:40" x14ac:dyDescent="0.2">
      <c r="A266" s="13">
        <v>259</v>
      </c>
      <c r="B266" s="42" t="s">
        <v>410</v>
      </c>
      <c r="C266" s="40" t="s">
        <v>18</v>
      </c>
      <c r="D266" s="41">
        <v>45717</v>
      </c>
      <c r="E266" s="40"/>
      <c r="F266" s="40"/>
      <c r="G266" s="40" t="s">
        <v>264</v>
      </c>
      <c r="H266" s="40" t="s">
        <v>19</v>
      </c>
      <c r="I266" s="40"/>
      <c r="J266" s="13" t="s">
        <v>259</v>
      </c>
      <c r="K266" s="2" t="s">
        <v>546</v>
      </c>
      <c r="L266" s="2">
        <v>65</v>
      </c>
      <c r="M266" s="4">
        <v>46231</v>
      </c>
    </row>
    <row r="267" spans="1:40" x14ac:dyDescent="0.2">
      <c r="A267" s="13">
        <v>260</v>
      </c>
      <c r="B267" s="42" t="s">
        <v>411</v>
      </c>
      <c r="C267" s="40" t="s">
        <v>18</v>
      </c>
      <c r="D267" s="41">
        <v>45737</v>
      </c>
      <c r="E267" s="40"/>
      <c r="F267" s="40"/>
      <c r="G267" s="40" t="s">
        <v>345</v>
      </c>
      <c r="H267" s="40" t="s">
        <v>129</v>
      </c>
      <c r="I267" s="40"/>
      <c r="J267" s="13" t="s">
        <v>259</v>
      </c>
      <c r="K267" s="2" t="s">
        <v>546</v>
      </c>
      <c r="L267" s="2">
        <v>80</v>
      </c>
      <c r="M267" s="4">
        <v>46231</v>
      </c>
      <c r="N267" s="2" t="s">
        <v>13</v>
      </c>
      <c r="O267" s="4">
        <v>46216</v>
      </c>
      <c r="P267" s="4">
        <v>46239</v>
      </c>
      <c r="Q267" s="2" t="s">
        <v>571</v>
      </c>
      <c r="R267" s="2">
        <v>2</v>
      </c>
      <c r="S267" s="2" t="s">
        <v>570</v>
      </c>
      <c r="T267" s="2"/>
      <c r="AE267" s="2">
        <v>342</v>
      </c>
    </row>
    <row r="268" spans="1:40" x14ac:dyDescent="0.2">
      <c r="A268" s="13">
        <v>261</v>
      </c>
      <c r="B268" s="22" t="s">
        <v>412</v>
      </c>
      <c r="C268" s="13" t="s">
        <v>18</v>
      </c>
      <c r="D268" s="23">
        <v>45738</v>
      </c>
      <c r="E268" s="13"/>
      <c r="F268" s="13"/>
      <c r="G268" s="13" t="s">
        <v>408</v>
      </c>
      <c r="H268" s="13" t="s">
        <v>173</v>
      </c>
      <c r="I268" s="13"/>
      <c r="J268" s="13" t="s">
        <v>259</v>
      </c>
      <c r="K268" s="2" t="s">
        <v>546</v>
      </c>
      <c r="L268" s="2">
        <v>70</v>
      </c>
      <c r="M268" s="4">
        <v>46231</v>
      </c>
      <c r="AL268" s="2">
        <v>225</v>
      </c>
      <c r="AM268" s="2">
        <v>232</v>
      </c>
      <c r="AN268" s="7">
        <f>AM268-AL268</f>
        <v>7</v>
      </c>
    </row>
    <row r="269" spans="1:40" x14ac:dyDescent="0.2">
      <c r="A269" s="13">
        <v>262</v>
      </c>
      <c r="B269" s="22" t="s">
        <v>413</v>
      </c>
      <c r="C269" s="13" t="s">
        <v>18</v>
      </c>
      <c r="D269" s="23">
        <v>45743</v>
      </c>
      <c r="E269" s="13"/>
      <c r="F269" s="13"/>
      <c r="G269" s="13" t="s">
        <v>303</v>
      </c>
      <c r="H269" s="13" t="s">
        <v>65</v>
      </c>
      <c r="I269" s="13"/>
      <c r="J269" s="13" t="s">
        <v>262</v>
      </c>
      <c r="K269" s="2" t="s">
        <v>546</v>
      </c>
      <c r="L269" s="2">
        <v>80</v>
      </c>
      <c r="M269" s="4">
        <v>46231</v>
      </c>
      <c r="AF269" s="2" t="s">
        <v>13</v>
      </c>
      <c r="AG269" s="4">
        <v>46199</v>
      </c>
      <c r="AH269" s="4" t="s">
        <v>12</v>
      </c>
      <c r="AI269" s="48">
        <f>AG269+210</f>
        <v>46409</v>
      </c>
      <c r="AJ269" s="48">
        <f>AG269+277</f>
        <v>46476</v>
      </c>
      <c r="AK269" s="50" t="s">
        <v>262</v>
      </c>
    </row>
    <row r="270" spans="1:40" x14ac:dyDescent="0.2">
      <c r="A270" s="13">
        <v>263</v>
      </c>
      <c r="B270" s="22" t="s">
        <v>414</v>
      </c>
      <c r="C270" s="13" t="s">
        <v>18</v>
      </c>
      <c r="D270" s="23">
        <v>45756</v>
      </c>
      <c r="E270" s="13"/>
      <c r="F270" s="13"/>
      <c r="G270" s="13" t="s">
        <v>415</v>
      </c>
      <c r="H270" s="13" t="s">
        <v>416</v>
      </c>
      <c r="I270" s="13"/>
      <c r="J270" s="13" t="s">
        <v>259</v>
      </c>
      <c r="K270" s="2" t="s">
        <v>546</v>
      </c>
      <c r="L270" s="2">
        <v>70</v>
      </c>
      <c r="M270" s="4">
        <v>46231</v>
      </c>
      <c r="AL270" s="2">
        <v>207</v>
      </c>
      <c r="AM270" s="2">
        <v>225</v>
      </c>
      <c r="AN270" s="7">
        <f>AM270-AL270</f>
        <v>18</v>
      </c>
    </row>
    <row r="271" spans="1:40" x14ac:dyDescent="0.2">
      <c r="A271" s="13">
        <v>264</v>
      </c>
      <c r="B271" s="22" t="s">
        <v>417</v>
      </c>
      <c r="C271" s="13" t="s">
        <v>18</v>
      </c>
      <c r="D271" s="23">
        <v>45767</v>
      </c>
      <c r="E271" s="13"/>
      <c r="F271" s="13"/>
      <c r="G271" s="13" t="s">
        <v>418</v>
      </c>
      <c r="H271" s="13" t="s">
        <v>141</v>
      </c>
      <c r="I271" s="13"/>
      <c r="J271" s="13" t="s">
        <v>259</v>
      </c>
      <c r="K271" s="2" t="s">
        <v>546</v>
      </c>
      <c r="L271" s="2">
        <v>70</v>
      </c>
      <c r="M271" s="4">
        <v>46231</v>
      </c>
      <c r="AL271" s="2">
        <v>225</v>
      </c>
      <c r="AM271" s="2">
        <v>250</v>
      </c>
      <c r="AN271" s="7">
        <f>AM271-AL271</f>
        <v>25</v>
      </c>
    </row>
    <row r="272" spans="1:40" x14ac:dyDescent="0.2">
      <c r="A272" s="13">
        <v>265</v>
      </c>
      <c r="B272" s="22" t="s">
        <v>419</v>
      </c>
      <c r="C272" s="13" t="s">
        <v>18</v>
      </c>
      <c r="D272" s="23">
        <v>45773</v>
      </c>
      <c r="E272" s="13"/>
      <c r="F272" s="13"/>
      <c r="G272" s="13" t="s">
        <v>418</v>
      </c>
      <c r="H272" s="13" t="s">
        <v>267</v>
      </c>
      <c r="I272" s="13"/>
      <c r="J272" s="13" t="s">
        <v>259</v>
      </c>
      <c r="K272" s="2" t="s">
        <v>546</v>
      </c>
      <c r="L272" s="2">
        <v>70</v>
      </c>
      <c r="M272" s="4">
        <v>46231</v>
      </c>
      <c r="AL272" s="2">
        <v>220</v>
      </c>
      <c r="AM272" s="2">
        <v>243</v>
      </c>
      <c r="AN272" s="7">
        <f>AM272-AL272</f>
        <v>23</v>
      </c>
    </row>
    <row r="273" spans="1:40" x14ac:dyDescent="0.2">
      <c r="A273" s="13">
        <v>266</v>
      </c>
      <c r="B273" s="22" t="s">
        <v>420</v>
      </c>
      <c r="C273" s="13" t="s">
        <v>63</v>
      </c>
      <c r="D273" s="23">
        <v>45777</v>
      </c>
      <c r="E273" s="13"/>
      <c r="F273" s="13"/>
      <c r="G273" s="13" t="s">
        <v>270</v>
      </c>
      <c r="H273" s="13" t="s">
        <v>157</v>
      </c>
      <c r="I273" s="13"/>
      <c r="J273" s="13" t="s">
        <v>259</v>
      </c>
      <c r="K273" s="2" t="s">
        <v>546</v>
      </c>
      <c r="L273" s="2">
        <v>80</v>
      </c>
      <c r="M273" s="4">
        <v>46231</v>
      </c>
    </row>
    <row r="274" spans="1:40" x14ac:dyDescent="0.2">
      <c r="A274" s="13">
        <v>267</v>
      </c>
      <c r="B274" s="22" t="s">
        <v>421</v>
      </c>
      <c r="C274" s="40" t="s">
        <v>18</v>
      </c>
      <c r="D274" s="41">
        <v>45802</v>
      </c>
      <c r="E274" s="40"/>
      <c r="F274" s="40"/>
      <c r="G274" s="40" t="s">
        <v>418</v>
      </c>
      <c r="H274" s="40" t="s">
        <v>246</v>
      </c>
      <c r="I274" s="40"/>
      <c r="J274" s="13" t="s">
        <v>259</v>
      </c>
      <c r="K274" s="2" t="s">
        <v>546</v>
      </c>
      <c r="L274" s="2">
        <v>70</v>
      </c>
      <c r="M274" s="4">
        <v>46231</v>
      </c>
      <c r="AL274" s="2">
        <v>228</v>
      </c>
      <c r="AM274" s="2">
        <v>233</v>
      </c>
      <c r="AN274" s="7">
        <f t="shared" ref="AN274:AN319" si="2">AM274-AL274</f>
        <v>5</v>
      </c>
    </row>
    <row r="275" spans="1:40" x14ac:dyDescent="0.2">
      <c r="A275" s="13">
        <v>268</v>
      </c>
      <c r="B275" s="22" t="s">
        <v>422</v>
      </c>
      <c r="C275" s="13" t="s">
        <v>18</v>
      </c>
      <c r="D275" s="23">
        <v>45838</v>
      </c>
      <c r="E275" s="13"/>
      <c r="F275" s="13"/>
      <c r="G275" s="13" t="s">
        <v>423</v>
      </c>
      <c r="H275" s="13" t="s">
        <v>125</v>
      </c>
      <c r="I275" s="13"/>
      <c r="J275" s="13" t="s">
        <v>259</v>
      </c>
      <c r="K275" s="2" t="s">
        <v>546</v>
      </c>
      <c r="L275" s="2">
        <v>70</v>
      </c>
      <c r="M275" s="4">
        <v>46231</v>
      </c>
      <c r="AL275" s="2">
        <v>178</v>
      </c>
      <c r="AM275" s="2">
        <v>201</v>
      </c>
      <c r="AN275" s="7">
        <f t="shared" si="2"/>
        <v>23</v>
      </c>
    </row>
    <row r="276" spans="1:40" x14ac:dyDescent="0.2">
      <c r="A276" s="13">
        <v>269</v>
      </c>
      <c r="B276" s="22" t="s">
        <v>424</v>
      </c>
      <c r="C276" s="13" t="s">
        <v>18</v>
      </c>
      <c r="D276" s="23">
        <v>45847</v>
      </c>
      <c r="E276" s="13"/>
      <c r="F276" s="13"/>
      <c r="G276" s="13" t="s">
        <v>276</v>
      </c>
      <c r="H276" s="13" t="s">
        <v>243</v>
      </c>
      <c r="I276" s="13"/>
      <c r="J276" s="13" t="s">
        <v>259</v>
      </c>
      <c r="K276" s="2" t="s">
        <v>546</v>
      </c>
      <c r="L276" s="2"/>
      <c r="M276" s="4">
        <v>46231</v>
      </c>
      <c r="AL276" s="2">
        <v>193</v>
      </c>
      <c r="AM276" s="2">
        <v>229</v>
      </c>
      <c r="AN276" s="7">
        <f t="shared" si="2"/>
        <v>36</v>
      </c>
    </row>
    <row r="277" spans="1:40" x14ac:dyDescent="0.2">
      <c r="A277" s="13">
        <v>270</v>
      </c>
      <c r="B277" s="22" t="s">
        <v>425</v>
      </c>
      <c r="C277" s="13" t="s">
        <v>18</v>
      </c>
      <c r="D277" s="23">
        <v>45862</v>
      </c>
      <c r="E277" s="13"/>
      <c r="F277" s="13"/>
      <c r="G277" s="13" t="s">
        <v>426</v>
      </c>
      <c r="H277" s="13" t="s">
        <v>137</v>
      </c>
      <c r="I277" s="13"/>
      <c r="J277" s="13" t="s">
        <v>259</v>
      </c>
      <c r="K277" s="2" t="s">
        <v>546</v>
      </c>
      <c r="L277" s="2">
        <v>70</v>
      </c>
      <c r="M277" s="4">
        <v>46231</v>
      </c>
      <c r="AL277" s="2">
        <v>177</v>
      </c>
      <c r="AM277" s="2">
        <v>195</v>
      </c>
      <c r="AN277" s="7">
        <f t="shared" si="2"/>
        <v>18</v>
      </c>
    </row>
    <row r="278" spans="1:40" x14ac:dyDescent="0.2">
      <c r="A278" s="13">
        <v>271</v>
      </c>
      <c r="B278" s="22" t="s">
        <v>427</v>
      </c>
      <c r="C278" s="13" t="s">
        <v>18</v>
      </c>
      <c r="D278" s="23">
        <v>45869</v>
      </c>
      <c r="E278" s="13"/>
      <c r="F278" s="13"/>
      <c r="G278" s="13" t="s">
        <v>426</v>
      </c>
      <c r="H278" s="13" t="s">
        <v>37</v>
      </c>
      <c r="I278" s="13"/>
      <c r="J278" s="13" t="s">
        <v>259</v>
      </c>
      <c r="K278" s="2" t="s">
        <v>546</v>
      </c>
      <c r="L278" s="2">
        <v>70</v>
      </c>
      <c r="M278" s="4">
        <v>46231</v>
      </c>
      <c r="AL278" s="2">
        <v>245</v>
      </c>
      <c r="AM278" s="2">
        <v>261</v>
      </c>
      <c r="AN278" s="7">
        <f t="shared" si="2"/>
        <v>16</v>
      </c>
    </row>
    <row r="279" spans="1:40" x14ac:dyDescent="0.2">
      <c r="A279" s="13">
        <v>272</v>
      </c>
      <c r="B279" s="22" t="s">
        <v>428</v>
      </c>
      <c r="C279" s="13" t="s">
        <v>18</v>
      </c>
      <c r="D279" s="23">
        <v>45870</v>
      </c>
      <c r="E279" s="13"/>
      <c r="F279" s="13"/>
      <c r="G279" s="13" t="s">
        <v>270</v>
      </c>
      <c r="H279" s="13">
        <v>536</v>
      </c>
      <c r="I279" s="13"/>
      <c r="J279" s="13" t="s">
        <v>259</v>
      </c>
      <c r="K279" s="2" t="s">
        <v>546</v>
      </c>
      <c r="L279" s="2">
        <v>70</v>
      </c>
      <c r="M279" s="4">
        <v>46231</v>
      </c>
      <c r="AL279" s="2">
        <v>202</v>
      </c>
      <c r="AM279" s="2">
        <v>215</v>
      </c>
      <c r="AN279" s="7">
        <f t="shared" si="2"/>
        <v>13</v>
      </c>
    </row>
    <row r="280" spans="1:40" x14ac:dyDescent="0.2">
      <c r="A280" s="13">
        <v>273</v>
      </c>
      <c r="B280" s="22" t="s">
        <v>429</v>
      </c>
      <c r="C280" s="13" t="s">
        <v>18</v>
      </c>
      <c r="D280" s="23">
        <v>45883</v>
      </c>
      <c r="E280" s="13"/>
      <c r="F280" s="13"/>
      <c r="G280" s="13" t="s">
        <v>430</v>
      </c>
      <c r="H280" s="13" t="s">
        <v>431</v>
      </c>
      <c r="I280" s="13"/>
      <c r="J280" s="13" t="s">
        <v>259</v>
      </c>
      <c r="K280" s="2" t="s">
        <v>546</v>
      </c>
      <c r="L280" s="2">
        <v>70</v>
      </c>
      <c r="M280" s="4">
        <v>46231</v>
      </c>
      <c r="AL280" s="2">
        <v>179</v>
      </c>
      <c r="AM280" s="2">
        <v>195</v>
      </c>
      <c r="AN280" s="7">
        <f t="shared" si="2"/>
        <v>16</v>
      </c>
    </row>
    <row r="281" spans="1:40" x14ac:dyDescent="0.2">
      <c r="A281" s="13">
        <v>274</v>
      </c>
      <c r="B281" s="22" t="s">
        <v>432</v>
      </c>
      <c r="C281" s="13" t="s">
        <v>18</v>
      </c>
      <c r="D281" s="23">
        <v>45889</v>
      </c>
      <c r="E281" s="13"/>
      <c r="F281" s="13"/>
      <c r="G281" s="13" t="s">
        <v>415</v>
      </c>
      <c r="H281" s="13" t="s">
        <v>29</v>
      </c>
      <c r="I281" s="13"/>
      <c r="J281" s="13" t="s">
        <v>259</v>
      </c>
      <c r="K281" s="2" t="s">
        <v>546</v>
      </c>
      <c r="L281" s="2"/>
      <c r="M281" s="4">
        <v>46231</v>
      </c>
      <c r="AL281" s="2">
        <v>222</v>
      </c>
      <c r="AM281" s="2">
        <v>245</v>
      </c>
      <c r="AN281" s="7">
        <f t="shared" si="2"/>
        <v>23</v>
      </c>
    </row>
    <row r="282" spans="1:40" x14ac:dyDescent="0.2">
      <c r="A282" s="13">
        <v>275</v>
      </c>
      <c r="B282" s="22" t="s">
        <v>433</v>
      </c>
      <c r="C282" s="13" t="s">
        <v>18</v>
      </c>
      <c r="D282" s="23">
        <v>45892</v>
      </c>
      <c r="E282" s="13"/>
      <c r="F282" s="13"/>
      <c r="G282" s="13" t="s">
        <v>345</v>
      </c>
      <c r="H282" s="13" t="s">
        <v>123</v>
      </c>
      <c r="I282" s="13"/>
      <c r="J282" s="13" t="s">
        <v>259</v>
      </c>
      <c r="K282" s="2" t="s">
        <v>546</v>
      </c>
      <c r="L282" s="2">
        <v>70</v>
      </c>
      <c r="M282" s="4">
        <v>46231</v>
      </c>
      <c r="AL282" s="2">
        <v>183</v>
      </c>
      <c r="AM282" s="2">
        <v>215</v>
      </c>
      <c r="AN282" s="7">
        <f t="shared" si="2"/>
        <v>32</v>
      </c>
    </row>
    <row r="283" spans="1:40" x14ac:dyDescent="0.2">
      <c r="A283" s="13">
        <v>276</v>
      </c>
      <c r="B283" s="22" t="s">
        <v>434</v>
      </c>
      <c r="C283" s="13" t="s">
        <v>18</v>
      </c>
      <c r="D283" s="23">
        <v>45893</v>
      </c>
      <c r="E283" s="13"/>
      <c r="F283" s="13"/>
      <c r="G283" s="13" t="s">
        <v>415</v>
      </c>
      <c r="H283" s="13" t="s">
        <v>128</v>
      </c>
      <c r="I283" s="13"/>
      <c r="J283" s="13" t="s">
        <v>259</v>
      </c>
      <c r="K283" s="2" t="s">
        <v>546</v>
      </c>
      <c r="L283" s="2">
        <v>70</v>
      </c>
      <c r="M283" s="4">
        <v>46231</v>
      </c>
      <c r="AL283" s="2">
        <v>184</v>
      </c>
      <c r="AM283" s="2">
        <v>195</v>
      </c>
      <c r="AN283" s="7">
        <f t="shared" si="2"/>
        <v>11</v>
      </c>
    </row>
    <row r="284" spans="1:40" x14ac:dyDescent="0.2">
      <c r="A284" s="13">
        <v>277</v>
      </c>
      <c r="B284" s="22" t="s">
        <v>435</v>
      </c>
      <c r="C284" s="13" t="s">
        <v>18</v>
      </c>
      <c r="D284" s="23">
        <v>45906</v>
      </c>
      <c r="E284" s="13"/>
      <c r="F284" s="13"/>
      <c r="G284" s="13" t="s">
        <v>408</v>
      </c>
      <c r="H284" s="13" t="s">
        <v>208</v>
      </c>
      <c r="I284" s="13"/>
      <c r="J284" s="13" t="s">
        <v>259</v>
      </c>
      <c r="K284" s="2" t="s">
        <v>546</v>
      </c>
      <c r="L284" s="2">
        <v>70</v>
      </c>
      <c r="M284" s="4">
        <v>46231</v>
      </c>
      <c r="AL284" s="2">
        <v>180</v>
      </c>
      <c r="AM284" s="2">
        <v>185</v>
      </c>
      <c r="AN284" s="7">
        <f t="shared" si="2"/>
        <v>5</v>
      </c>
    </row>
    <row r="285" spans="1:40" x14ac:dyDescent="0.2">
      <c r="A285" s="13">
        <v>278</v>
      </c>
      <c r="B285" s="22" t="s">
        <v>436</v>
      </c>
      <c r="C285" s="13" t="s">
        <v>18</v>
      </c>
      <c r="D285" s="23">
        <v>45907</v>
      </c>
      <c r="E285" s="13"/>
      <c r="F285" s="13"/>
      <c r="G285" s="13" t="s">
        <v>437</v>
      </c>
      <c r="H285" s="13" t="s">
        <v>46</v>
      </c>
      <c r="I285" s="13"/>
      <c r="J285" s="13" t="s">
        <v>259</v>
      </c>
      <c r="K285" s="2" t="s">
        <v>546</v>
      </c>
      <c r="L285" s="2">
        <v>70</v>
      </c>
      <c r="M285" s="4">
        <v>46231</v>
      </c>
      <c r="AL285" s="2">
        <v>236</v>
      </c>
      <c r="AM285" s="2">
        <v>260</v>
      </c>
      <c r="AN285" s="7">
        <f t="shared" si="2"/>
        <v>24</v>
      </c>
    </row>
    <row r="286" spans="1:40" x14ac:dyDescent="0.2">
      <c r="A286" s="13">
        <v>279</v>
      </c>
      <c r="B286" s="22" t="s">
        <v>438</v>
      </c>
      <c r="C286" s="13" t="s">
        <v>18</v>
      </c>
      <c r="D286" s="23">
        <v>45908</v>
      </c>
      <c r="E286" s="13"/>
      <c r="F286" s="13"/>
      <c r="G286" s="13" t="s">
        <v>345</v>
      </c>
      <c r="H286" s="13" t="s">
        <v>346</v>
      </c>
      <c r="I286" s="13"/>
      <c r="J286" s="13" t="s">
        <v>259</v>
      </c>
      <c r="K286" s="2" t="s">
        <v>546</v>
      </c>
      <c r="L286" s="2">
        <v>70</v>
      </c>
      <c r="M286" s="4">
        <v>46231</v>
      </c>
      <c r="AL286" s="2">
        <v>184</v>
      </c>
      <c r="AM286" s="2">
        <v>208</v>
      </c>
      <c r="AN286" s="7">
        <f t="shared" si="2"/>
        <v>24</v>
      </c>
    </row>
    <row r="287" spans="1:40" x14ac:dyDescent="0.2">
      <c r="A287" s="13">
        <v>280</v>
      </c>
      <c r="B287" s="22" t="s">
        <v>439</v>
      </c>
      <c r="C287" s="13" t="s">
        <v>18</v>
      </c>
      <c r="D287" s="23">
        <v>45916</v>
      </c>
      <c r="E287" s="13"/>
      <c r="F287" s="13"/>
      <c r="G287" s="13" t="s">
        <v>430</v>
      </c>
      <c r="H287" s="13" t="s">
        <v>24</v>
      </c>
      <c r="I287" s="13"/>
      <c r="J287" s="13" t="s">
        <v>259</v>
      </c>
      <c r="K287" s="2" t="s">
        <v>546</v>
      </c>
      <c r="L287" s="2">
        <v>70</v>
      </c>
      <c r="M287" s="4">
        <v>46231</v>
      </c>
      <c r="AL287" s="2">
        <v>177</v>
      </c>
      <c r="AM287" s="2">
        <v>203</v>
      </c>
      <c r="AN287" s="7">
        <f t="shared" si="2"/>
        <v>26</v>
      </c>
    </row>
    <row r="288" spans="1:40" x14ac:dyDescent="0.2">
      <c r="A288" s="13">
        <v>281</v>
      </c>
      <c r="B288" s="22" t="s">
        <v>440</v>
      </c>
      <c r="C288" s="13" t="s">
        <v>18</v>
      </c>
      <c r="D288" s="23">
        <v>45920</v>
      </c>
      <c r="E288" s="13"/>
      <c r="F288" s="13"/>
      <c r="G288" s="13" t="s">
        <v>314</v>
      </c>
      <c r="H288" s="13" t="s">
        <v>42</v>
      </c>
      <c r="I288" s="13"/>
      <c r="J288" s="13" t="s">
        <v>259</v>
      </c>
      <c r="K288" s="2" t="s">
        <v>546</v>
      </c>
      <c r="L288" s="2">
        <v>70</v>
      </c>
      <c r="M288" s="4">
        <v>46231</v>
      </c>
      <c r="AL288" s="2">
        <v>224</v>
      </c>
      <c r="AM288" s="2">
        <v>249</v>
      </c>
      <c r="AN288" s="7">
        <f t="shared" si="2"/>
        <v>25</v>
      </c>
    </row>
    <row r="289" spans="1:40" x14ac:dyDescent="0.2">
      <c r="A289" s="13">
        <v>282</v>
      </c>
      <c r="B289" s="22" t="s">
        <v>441</v>
      </c>
      <c r="C289" s="13" t="s">
        <v>18</v>
      </c>
      <c r="D289" s="23">
        <v>45927</v>
      </c>
      <c r="E289" s="13"/>
      <c r="F289" s="13"/>
      <c r="G289" s="13" t="s">
        <v>437</v>
      </c>
      <c r="H289" s="13" t="s">
        <v>253</v>
      </c>
      <c r="I289" s="40"/>
      <c r="J289" s="13" t="s">
        <v>259</v>
      </c>
      <c r="K289" s="2" t="s">
        <v>546</v>
      </c>
      <c r="L289" s="2">
        <v>50</v>
      </c>
      <c r="M289" s="4">
        <v>46231</v>
      </c>
      <c r="AL289" s="2">
        <v>136</v>
      </c>
      <c r="AM289" s="2">
        <v>156</v>
      </c>
      <c r="AN289" s="7">
        <f t="shared" si="2"/>
        <v>20</v>
      </c>
    </row>
    <row r="290" spans="1:40" x14ac:dyDescent="0.2">
      <c r="A290" s="13">
        <v>283</v>
      </c>
      <c r="B290" s="22" t="s">
        <v>442</v>
      </c>
      <c r="C290" s="13" t="s">
        <v>18</v>
      </c>
      <c r="D290" s="23">
        <v>45930</v>
      </c>
      <c r="E290" s="13"/>
      <c r="F290" s="13"/>
      <c r="G290" s="13" t="s">
        <v>418</v>
      </c>
      <c r="H290" s="13" t="s">
        <v>152</v>
      </c>
      <c r="I290" s="40"/>
      <c r="J290" s="13" t="s">
        <v>259</v>
      </c>
      <c r="K290" s="2" t="s">
        <v>546</v>
      </c>
      <c r="L290" s="2">
        <v>70</v>
      </c>
      <c r="M290" s="4">
        <v>46231</v>
      </c>
      <c r="AL290" s="2">
        <v>180</v>
      </c>
      <c r="AM290" s="2">
        <v>210</v>
      </c>
      <c r="AN290" s="7">
        <f t="shared" si="2"/>
        <v>30</v>
      </c>
    </row>
    <row r="291" spans="1:40" x14ac:dyDescent="0.2">
      <c r="A291" s="13">
        <v>284</v>
      </c>
      <c r="B291" s="22" t="s">
        <v>443</v>
      </c>
      <c r="C291" s="13" t="s">
        <v>18</v>
      </c>
      <c r="D291" s="23">
        <v>45930</v>
      </c>
      <c r="E291" s="13"/>
      <c r="F291" s="13"/>
      <c r="G291" s="13" t="s">
        <v>426</v>
      </c>
      <c r="H291" s="13" t="s">
        <v>227</v>
      </c>
      <c r="I291" s="40"/>
      <c r="J291" s="13" t="s">
        <v>259</v>
      </c>
      <c r="K291" s="2" t="s">
        <v>546</v>
      </c>
      <c r="L291" s="2"/>
      <c r="M291" s="4">
        <v>46231</v>
      </c>
      <c r="AL291" s="2">
        <v>113</v>
      </c>
      <c r="AM291" s="2">
        <v>150</v>
      </c>
      <c r="AN291" s="7">
        <f t="shared" si="2"/>
        <v>37</v>
      </c>
    </row>
    <row r="292" spans="1:40" x14ac:dyDescent="0.2">
      <c r="A292" s="13">
        <v>285</v>
      </c>
      <c r="B292" s="22" t="s">
        <v>444</v>
      </c>
      <c r="C292" s="13" t="s">
        <v>18</v>
      </c>
      <c r="D292" s="23">
        <v>45934</v>
      </c>
      <c r="E292" s="13"/>
      <c r="F292" s="13"/>
      <c r="G292" s="13" t="s">
        <v>405</v>
      </c>
      <c r="H292" s="13" t="s">
        <v>210</v>
      </c>
      <c r="I292" s="40"/>
      <c r="J292" s="13" t="s">
        <v>259</v>
      </c>
      <c r="K292" s="2" t="s">
        <v>546</v>
      </c>
      <c r="L292" s="2">
        <v>70</v>
      </c>
      <c r="M292" s="4">
        <v>46231</v>
      </c>
      <c r="AL292" s="2">
        <v>154</v>
      </c>
      <c r="AM292" s="2">
        <v>180</v>
      </c>
      <c r="AN292" s="7">
        <f t="shared" si="2"/>
        <v>26</v>
      </c>
    </row>
    <row r="293" spans="1:40" x14ac:dyDescent="0.2">
      <c r="A293" s="13">
        <v>286</v>
      </c>
      <c r="B293" s="22" t="s">
        <v>445</v>
      </c>
      <c r="C293" s="13" t="s">
        <v>18</v>
      </c>
      <c r="D293" s="23">
        <v>45935</v>
      </c>
      <c r="E293" s="13"/>
      <c r="F293" s="13"/>
      <c r="G293" s="13" t="s">
        <v>415</v>
      </c>
      <c r="H293" s="13" t="s">
        <v>78</v>
      </c>
      <c r="I293" s="40"/>
      <c r="J293" s="13" t="s">
        <v>259</v>
      </c>
      <c r="K293" s="2" t="s">
        <v>546</v>
      </c>
      <c r="L293" s="2">
        <v>50</v>
      </c>
      <c r="M293" s="4">
        <v>46231</v>
      </c>
      <c r="AL293" s="2">
        <v>155</v>
      </c>
      <c r="AM293" s="2">
        <v>182</v>
      </c>
      <c r="AN293" s="7">
        <f t="shared" si="2"/>
        <v>27</v>
      </c>
    </row>
    <row r="294" spans="1:40" x14ac:dyDescent="0.2">
      <c r="A294" s="13">
        <v>287</v>
      </c>
      <c r="B294" s="22" t="s">
        <v>446</v>
      </c>
      <c r="C294" s="13" t="s">
        <v>18</v>
      </c>
      <c r="D294" s="23">
        <v>45935</v>
      </c>
      <c r="E294" s="13"/>
      <c r="F294" s="13"/>
      <c r="G294" s="13" t="s">
        <v>345</v>
      </c>
      <c r="H294" s="13" t="s">
        <v>159</v>
      </c>
      <c r="I294" s="40"/>
      <c r="J294" s="13" t="s">
        <v>259</v>
      </c>
      <c r="K294" s="2" t="s">
        <v>546</v>
      </c>
      <c r="L294" s="2">
        <v>70</v>
      </c>
      <c r="M294" s="4">
        <v>46231</v>
      </c>
      <c r="AL294" s="2">
        <v>188</v>
      </c>
      <c r="AM294" s="2">
        <v>209</v>
      </c>
      <c r="AN294" s="7">
        <f t="shared" si="2"/>
        <v>21</v>
      </c>
    </row>
    <row r="295" spans="1:40" x14ac:dyDescent="0.2">
      <c r="A295" s="13">
        <v>288</v>
      </c>
      <c r="B295" s="22" t="s">
        <v>447</v>
      </c>
      <c r="C295" s="13" t="s">
        <v>18</v>
      </c>
      <c r="D295" s="23">
        <v>45936</v>
      </c>
      <c r="E295" s="13"/>
      <c r="F295" s="13"/>
      <c r="G295" s="13" t="s">
        <v>423</v>
      </c>
      <c r="H295" s="13" t="s">
        <v>241</v>
      </c>
      <c r="I295" s="40"/>
      <c r="J295" s="13" t="s">
        <v>259</v>
      </c>
      <c r="K295" s="2" t="s">
        <v>546</v>
      </c>
      <c r="L295" s="2">
        <v>70</v>
      </c>
      <c r="M295" s="4">
        <v>46231</v>
      </c>
      <c r="AL295" s="2">
        <v>180</v>
      </c>
      <c r="AM295" s="2">
        <v>204</v>
      </c>
      <c r="AN295" s="7">
        <f t="shared" si="2"/>
        <v>24</v>
      </c>
    </row>
    <row r="296" spans="1:40" x14ac:dyDescent="0.2">
      <c r="A296" s="13">
        <v>289</v>
      </c>
      <c r="B296" s="22" t="s">
        <v>448</v>
      </c>
      <c r="C296" s="13" t="s">
        <v>18</v>
      </c>
      <c r="D296" s="23">
        <v>45942</v>
      </c>
      <c r="E296" s="13"/>
      <c r="F296" s="13"/>
      <c r="G296" s="13" t="s">
        <v>426</v>
      </c>
      <c r="H296" s="13" t="s">
        <v>130</v>
      </c>
      <c r="I296" s="40"/>
      <c r="J296" s="13" t="s">
        <v>259</v>
      </c>
      <c r="K296" s="2" t="s">
        <v>546</v>
      </c>
      <c r="L296" s="2">
        <v>50</v>
      </c>
      <c r="M296" s="4">
        <v>46231</v>
      </c>
      <c r="AL296" s="2">
        <v>175</v>
      </c>
      <c r="AM296" s="2">
        <v>198</v>
      </c>
      <c r="AN296" s="7">
        <f t="shared" si="2"/>
        <v>23</v>
      </c>
    </row>
    <row r="297" spans="1:40" x14ac:dyDescent="0.2">
      <c r="A297" s="13">
        <v>290</v>
      </c>
      <c r="B297" s="22" t="s">
        <v>449</v>
      </c>
      <c r="C297" s="13" t="s">
        <v>18</v>
      </c>
      <c r="D297" s="23">
        <v>45946</v>
      </c>
      <c r="E297" s="13"/>
      <c r="F297" s="13"/>
      <c r="G297" s="13" t="s">
        <v>437</v>
      </c>
      <c r="H297" s="13" t="s">
        <v>203</v>
      </c>
      <c r="I297" s="40"/>
      <c r="J297" s="13" t="s">
        <v>259</v>
      </c>
      <c r="K297" s="2" t="s">
        <v>546</v>
      </c>
      <c r="L297" s="2">
        <v>70</v>
      </c>
      <c r="M297" s="4">
        <v>46231</v>
      </c>
      <c r="AL297" s="2">
        <v>178</v>
      </c>
      <c r="AM297" s="2">
        <v>208</v>
      </c>
      <c r="AN297" s="7">
        <f t="shared" si="2"/>
        <v>30</v>
      </c>
    </row>
    <row r="298" spans="1:40" x14ac:dyDescent="0.2">
      <c r="A298" s="13">
        <v>291</v>
      </c>
      <c r="B298" s="22" t="s">
        <v>450</v>
      </c>
      <c r="C298" s="13" t="s">
        <v>18</v>
      </c>
      <c r="D298" s="23">
        <v>45946</v>
      </c>
      <c r="E298" s="13"/>
      <c r="F298" s="13"/>
      <c r="G298" s="13" t="s">
        <v>303</v>
      </c>
      <c r="H298" s="13" t="s">
        <v>164</v>
      </c>
      <c r="I298" s="40"/>
      <c r="J298" s="13" t="s">
        <v>259</v>
      </c>
      <c r="K298" s="2" t="s">
        <v>546</v>
      </c>
      <c r="L298" s="2">
        <v>70</v>
      </c>
      <c r="M298" s="4">
        <v>46231</v>
      </c>
      <c r="AL298" s="2">
        <v>180</v>
      </c>
      <c r="AM298" s="2">
        <v>204</v>
      </c>
      <c r="AN298" s="7">
        <f t="shared" si="2"/>
        <v>24</v>
      </c>
    </row>
    <row r="299" spans="1:40" x14ac:dyDescent="0.2">
      <c r="A299" s="13">
        <v>292</v>
      </c>
      <c r="B299" s="22" t="s">
        <v>451</v>
      </c>
      <c r="C299" s="13" t="s">
        <v>18</v>
      </c>
      <c r="D299" s="23">
        <v>45957</v>
      </c>
      <c r="E299" s="13"/>
      <c r="F299" s="13"/>
      <c r="G299" s="13" t="s">
        <v>276</v>
      </c>
      <c r="H299" s="13" t="s">
        <v>95</v>
      </c>
      <c r="I299" s="40"/>
      <c r="J299" s="13" t="s">
        <v>259</v>
      </c>
      <c r="K299" s="2" t="s">
        <v>546</v>
      </c>
      <c r="L299" s="2">
        <v>70</v>
      </c>
      <c r="M299" s="4">
        <v>46231</v>
      </c>
      <c r="AL299" s="2">
        <v>185</v>
      </c>
      <c r="AM299" s="2">
        <v>220</v>
      </c>
      <c r="AN299" s="7">
        <f t="shared" si="2"/>
        <v>35</v>
      </c>
    </row>
    <row r="300" spans="1:40" x14ac:dyDescent="0.2">
      <c r="A300" s="13">
        <v>293</v>
      </c>
      <c r="B300" s="22" t="s">
        <v>452</v>
      </c>
      <c r="C300" s="13" t="s">
        <v>18</v>
      </c>
      <c r="D300" s="23">
        <v>45958</v>
      </c>
      <c r="E300" s="13"/>
      <c r="F300" s="13"/>
      <c r="G300" s="13" t="s">
        <v>437</v>
      </c>
      <c r="H300" s="13" t="s">
        <v>247</v>
      </c>
      <c r="I300" s="40"/>
      <c r="J300" s="13" t="s">
        <v>259</v>
      </c>
      <c r="K300" s="2" t="s">
        <v>546</v>
      </c>
      <c r="L300" s="2">
        <v>50</v>
      </c>
      <c r="M300" s="4">
        <v>46231</v>
      </c>
      <c r="AL300" s="2">
        <v>132</v>
      </c>
      <c r="AM300" s="2">
        <v>160</v>
      </c>
      <c r="AN300" s="7">
        <f t="shared" si="2"/>
        <v>28</v>
      </c>
    </row>
    <row r="301" spans="1:40" x14ac:dyDescent="0.2">
      <c r="A301" s="13">
        <v>294</v>
      </c>
      <c r="B301" s="22" t="s">
        <v>453</v>
      </c>
      <c r="C301" s="13" t="s">
        <v>18</v>
      </c>
      <c r="D301" s="23">
        <v>45958</v>
      </c>
      <c r="E301" s="13"/>
      <c r="F301" s="13"/>
      <c r="G301" s="13" t="s">
        <v>270</v>
      </c>
      <c r="H301" s="13" t="s">
        <v>454</v>
      </c>
      <c r="I301" s="40"/>
      <c r="J301" s="13" t="s">
        <v>259</v>
      </c>
      <c r="K301" s="2" t="s">
        <v>546</v>
      </c>
      <c r="L301" s="2">
        <v>50</v>
      </c>
      <c r="M301" s="4">
        <v>46231</v>
      </c>
      <c r="AL301" s="2">
        <v>130</v>
      </c>
      <c r="AM301" s="2">
        <v>157</v>
      </c>
      <c r="AN301" s="7">
        <f t="shared" si="2"/>
        <v>27</v>
      </c>
    </row>
    <row r="302" spans="1:40" x14ac:dyDescent="0.2">
      <c r="A302" s="13">
        <v>295</v>
      </c>
      <c r="B302" s="22" t="s">
        <v>455</v>
      </c>
      <c r="C302" s="13" t="s">
        <v>18</v>
      </c>
      <c r="D302" s="23">
        <v>45959</v>
      </c>
      <c r="E302" s="13"/>
      <c r="F302" s="13"/>
      <c r="G302" s="13" t="s">
        <v>415</v>
      </c>
      <c r="H302" s="13" t="s">
        <v>196</v>
      </c>
      <c r="I302" s="40"/>
      <c r="J302" s="13" t="s">
        <v>259</v>
      </c>
      <c r="K302" s="2" t="s">
        <v>546</v>
      </c>
      <c r="L302" s="2">
        <v>70</v>
      </c>
      <c r="M302" s="4">
        <v>46231</v>
      </c>
      <c r="AL302" s="2">
        <v>164</v>
      </c>
      <c r="AM302" s="2">
        <v>185</v>
      </c>
      <c r="AN302" s="7">
        <f t="shared" si="2"/>
        <v>21</v>
      </c>
    </row>
    <row r="303" spans="1:40" x14ac:dyDescent="0.2">
      <c r="A303" s="13">
        <v>296</v>
      </c>
      <c r="B303" s="22" t="s">
        <v>456</v>
      </c>
      <c r="C303" s="13" t="s">
        <v>18</v>
      </c>
      <c r="D303" s="23">
        <v>45951</v>
      </c>
      <c r="E303" s="13"/>
      <c r="F303" s="13"/>
      <c r="G303" s="13" t="s">
        <v>276</v>
      </c>
      <c r="H303" s="13" t="s">
        <v>126</v>
      </c>
      <c r="I303" s="40"/>
      <c r="J303" s="13" t="s">
        <v>259</v>
      </c>
      <c r="K303" s="2" t="s">
        <v>546</v>
      </c>
      <c r="L303" s="2">
        <v>50</v>
      </c>
      <c r="M303" s="4">
        <v>46231</v>
      </c>
      <c r="AL303" s="2">
        <v>160</v>
      </c>
      <c r="AM303" s="2">
        <v>180</v>
      </c>
      <c r="AN303" s="7">
        <f t="shared" si="2"/>
        <v>20</v>
      </c>
    </row>
    <row r="304" spans="1:40" x14ac:dyDescent="0.2">
      <c r="A304" s="13">
        <v>297</v>
      </c>
      <c r="B304" s="42" t="s">
        <v>457</v>
      </c>
      <c r="C304" s="40" t="s">
        <v>18</v>
      </c>
      <c r="D304" s="41">
        <v>45972</v>
      </c>
      <c r="E304" s="40"/>
      <c r="F304" s="40"/>
      <c r="G304" s="40" t="s">
        <v>405</v>
      </c>
      <c r="H304" s="40" t="s">
        <v>117</v>
      </c>
      <c r="I304" s="40"/>
      <c r="J304" s="13" t="s">
        <v>259</v>
      </c>
      <c r="K304" s="2" t="s">
        <v>546</v>
      </c>
      <c r="L304" s="2">
        <v>50</v>
      </c>
      <c r="M304" s="4">
        <v>46231</v>
      </c>
      <c r="AL304" s="2">
        <v>137</v>
      </c>
      <c r="AM304" s="2">
        <v>144</v>
      </c>
      <c r="AN304" s="7">
        <f t="shared" si="2"/>
        <v>7</v>
      </c>
    </row>
    <row r="305" spans="1:40" x14ac:dyDescent="0.2">
      <c r="A305" s="13">
        <v>298</v>
      </c>
      <c r="B305" s="42" t="s">
        <v>458</v>
      </c>
      <c r="C305" s="40" t="s">
        <v>63</v>
      </c>
      <c r="D305" s="41">
        <v>45975</v>
      </c>
      <c r="E305" s="40"/>
      <c r="F305" s="40"/>
      <c r="G305" s="40" t="s">
        <v>309</v>
      </c>
      <c r="H305" s="40" t="s">
        <v>459</v>
      </c>
      <c r="I305" s="40"/>
      <c r="J305" s="13" t="s">
        <v>259</v>
      </c>
      <c r="K305" s="2" t="s">
        <v>546</v>
      </c>
      <c r="L305" s="2">
        <v>50</v>
      </c>
      <c r="M305" s="4">
        <v>46231</v>
      </c>
      <c r="AL305" s="2">
        <v>112</v>
      </c>
      <c r="AM305" s="2">
        <v>124</v>
      </c>
      <c r="AN305" s="7">
        <f t="shared" si="2"/>
        <v>12</v>
      </c>
    </row>
    <row r="306" spans="1:40" x14ac:dyDescent="0.2">
      <c r="A306" s="13">
        <v>299</v>
      </c>
      <c r="B306" s="42" t="s">
        <v>460</v>
      </c>
      <c r="C306" s="40" t="s">
        <v>18</v>
      </c>
      <c r="D306" s="41">
        <v>45979</v>
      </c>
      <c r="E306" s="40"/>
      <c r="F306" s="40"/>
      <c r="G306" s="40" t="s">
        <v>426</v>
      </c>
      <c r="H306" s="40" t="s">
        <v>107</v>
      </c>
      <c r="I306" s="40"/>
      <c r="J306" s="13" t="s">
        <v>259</v>
      </c>
      <c r="K306" s="2" t="s">
        <v>546</v>
      </c>
      <c r="L306" s="2">
        <v>70</v>
      </c>
      <c r="M306" s="4">
        <v>46231</v>
      </c>
      <c r="AL306" s="2">
        <v>164</v>
      </c>
      <c r="AM306" s="2">
        <v>196</v>
      </c>
      <c r="AN306" s="7">
        <f t="shared" si="2"/>
        <v>32</v>
      </c>
    </row>
    <row r="307" spans="1:40" x14ac:dyDescent="0.2">
      <c r="A307" s="13">
        <v>300</v>
      </c>
      <c r="B307" s="42" t="s">
        <v>461</v>
      </c>
      <c r="C307" s="40" t="s">
        <v>18</v>
      </c>
      <c r="D307" s="41">
        <v>45979</v>
      </c>
      <c r="E307" s="40"/>
      <c r="F307" s="40"/>
      <c r="G307" s="40" t="s">
        <v>430</v>
      </c>
      <c r="H307" s="40" t="s">
        <v>263</v>
      </c>
      <c r="I307" s="40"/>
      <c r="J307" s="13" t="s">
        <v>259</v>
      </c>
      <c r="K307" s="2" t="s">
        <v>546</v>
      </c>
      <c r="L307" s="2">
        <v>50</v>
      </c>
      <c r="M307" s="4">
        <v>46231</v>
      </c>
      <c r="AL307" s="2">
        <v>140</v>
      </c>
      <c r="AM307" s="2">
        <v>158</v>
      </c>
      <c r="AN307" s="7">
        <f t="shared" si="2"/>
        <v>18</v>
      </c>
    </row>
    <row r="308" spans="1:40" x14ac:dyDescent="0.2">
      <c r="A308" s="13">
        <v>301</v>
      </c>
      <c r="B308" s="42" t="s">
        <v>462</v>
      </c>
      <c r="C308" s="40" t="s">
        <v>18</v>
      </c>
      <c r="D308" s="41">
        <v>45986</v>
      </c>
      <c r="E308" s="40"/>
      <c r="F308" s="40"/>
      <c r="G308" s="40" t="s">
        <v>463</v>
      </c>
      <c r="H308" s="40" t="s">
        <v>158</v>
      </c>
      <c r="I308" s="40"/>
      <c r="J308" s="13" t="s">
        <v>259</v>
      </c>
      <c r="K308" s="2" t="s">
        <v>546</v>
      </c>
      <c r="L308" s="2">
        <v>50</v>
      </c>
      <c r="M308" s="4">
        <v>46231</v>
      </c>
      <c r="AL308" s="2">
        <v>126</v>
      </c>
      <c r="AM308" s="2">
        <v>153</v>
      </c>
      <c r="AN308" s="7">
        <f t="shared" si="2"/>
        <v>27</v>
      </c>
    </row>
    <row r="309" spans="1:40" x14ac:dyDescent="0.2">
      <c r="A309" s="13">
        <v>302</v>
      </c>
      <c r="B309" s="42" t="s">
        <v>464</v>
      </c>
      <c r="C309" s="40" t="s">
        <v>18</v>
      </c>
      <c r="D309" s="41">
        <v>45989</v>
      </c>
      <c r="E309" s="40"/>
      <c r="F309" s="40"/>
      <c r="G309" s="40" t="s">
        <v>463</v>
      </c>
      <c r="H309" s="40" t="s">
        <v>225</v>
      </c>
      <c r="I309" s="40"/>
      <c r="J309" s="13" t="s">
        <v>259</v>
      </c>
      <c r="K309" s="2" t="s">
        <v>546</v>
      </c>
      <c r="L309" s="2">
        <v>80</v>
      </c>
      <c r="M309" s="4">
        <v>46231</v>
      </c>
      <c r="AL309" s="2">
        <v>155</v>
      </c>
      <c r="AM309" s="2">
        <v>186</v>
      </c>
      <c r="AN309" s="7">
        <f t="shared" si="2"/>
        <v>31</v>
      </c>
    </row>
    <row r="310" spans="1:40" x14ac:dyDescent="0.2">
      <c r="A310" s="13">
        <v>303</v>
      </c>
      <c r="B310" s="42" t="s">
        <v>465</v>
      </c>
      <c r="C310" s="40" t="s">
        <v>18</v>
      </c>
      <c r="D310" s="41">
        <v>45990</v>
      </c>
      <c r="E310" s="40"/>
      <c r="F310" s="40"/>
      <c r="G310" s="40" t="s">
        <v>463</v>
      </c>
      <c r="H310" s="40" t="s">
        <v>90</v>
      </c>
      <c r="I310" s="40"/>
      <c r="J310" s="13" t="s">
        <v>259</v>
      </c>
      <c r="K310" s="2" t="s">
        <v>546</v>
      </c>
      <c r="L310" s="2">
        <v>45</v>
      </c>
      <c r="M310" s="4">
        <v>46231</v>
      </c>
      <c r="AL310" s="2">
        <v>160</v>
      </c>
      <c r="AM310" s="2">
        <v>185</v>
      </c>
      <c r="AN310" s="7">
        <f t="shared" si="2"/>
        <v>25</v>
      </c>
    </row>
    <row r="311" spans="1:40" x14ac:dyDescent="0.2">
      <c r="A311" s="13">
        <v>304</v>
      </c>
      <c r="B311" s="42" t="s">
        <v>466</v>
      </c>
      <c r="C311" s="40" t="s">
        <v>63</v>
      </c>
      <c r="D311" s="41">
        <v>45994</v>
      </c>
      <c r="E311" s="40"/>
      <c r="F311" s="40"/>
      <c r="G311" s="40" t="s">
        <v>188</v>
      </c>
      <c r="H311" s="40" t="s">
        <v>102</v>
      </c>
      <c r="I311" s="40"/>
      <c r="J311" s="13" t="s">
        <v>259</v>
      </c>
      <c r="K311" s="2" t="s">
        <v>546</v>
      </c>
      <c r="L311" s="2">
        <v>50</v>
      </c>
      <c r="M311" s="4">
        <v>46231</v>
      </c>
      <c r="AL311" s="2">
        <v>127</v>
      </c>
      <c r="AM311" s="2">
        <v>149</v>
      </c>
      <c r="AN311" s="7">
        <f t="shared" si="2"/>
        <v>22</v>
      </c>
    </row>
    <row r="312" spans="1:40" x14ac:dyDescent="0.2">
      <c r="A312" s="13">
        <v>305</v>
      </c>
      <c r="B312" s="42" t="s">
        <v>467</v>
      </c>
      <c r="C312" s="40" t="s">
        <v>18</v>
      </c>
      <c r="D312" s="41">
        <v>45997</v>
      </c>
      <c r="E312" s="40"/>
      <c r="F312" s="40"/>
      <c r="G312" s="40" t="s">
        <v>463</v>
      </c>
      <c r="H312" s="40" t="s">
        <v>198</v>
      </c>
      <c r="I312" s="40"/>
      <c r="J312" s="13" t="s">
        <v>259</v>
      </c>
      <c r="K312" s="2" t="s">
        <v>546</v>
      </c>
      <c r="L312" s="2">
        <v>50</v>
      </c>
      <c r="M312" s="4">
        <v>46231</v>
      </c>
      <c r="AL312" s="2">
        <v>152</v>
      </c>
      <c r="AM312" s="2">
        <v>175</v>
      </c>
      <c r="AN312" s="7">
        <f t="shared" si="2"/>
        <v>23</v>
      </c>
    </row>
    <row r="313" spans="1:40" x14ac:dyDescent="0.2">
      <c r="A313" s="13">
        <v>306</v>
      </c>
      <c r="B313" s="42" t="s">
        <v>468</v>
      </c>
      <c r="C313" s="40" t="s">
        <v>18</v>
      </c>
      <c r="D313" s="41">
        <v>46002</v>
      </c>
      <c r="E313" s="40"/>
      <c r="F313" s="40"/>
      <c r="G313" s="40" t="s">
        <v>463</v>
      </c>
      <c r="H313" s="40" t="s">
        <v>169</v>
      </c>
      <c r="I313" s="40"/>
      <c r="J313" s="13" t="s">
        <v>259</v>
      </c>
      <c r="K313" s="2" t="s">
        <v>546</v>
      </c>
      <c r="L313" s="2">
        <v>30</v>
      </c>
      <c r="M313" s="4">
        <v>46231</v>
      </c>
      <c r="AL313" s="2">
        <v>133</v>
      </c>
      <c r="AM313" s="2">
        <v>160</v>
      </c>
      <c r="AN313" s="7">
        <f t="shared" si="2"/>
        <v>27</v>
      </c>
    </row>
    <row r="314" spans="1:40" x14ac:dyDescent="0.2">
      <c r="A314" s="13">
        <v>307</v>
      </c>
      <c r="B314" s="42" t="s">
        <v>469</v>
      </c>
      <c r="C314" s="40" t="s">
        <v>18</v>
      </c>
      <c r="D314" s="41">
        <v>46003</v>
      </c>
      <c r="E314" s="40"/>
      <c r="F314" s="40"/>
      <c r="G314" s="40" t="s">
        <v>463</v>
      </c>
      <c r="H314" s="40" t="s">
        <v>217</v>
      </c>
      <c r="I314" s="40"/>
      <c r="J314" s="13" t="s">
        <v>259</v>
      </c>
      <c r="K314" s="2" t="s">
        <v>546</v>
      </c>
      <c r="L314" s="2">
        <v>50</v>
      </c>
      <c r="M314" s="4">
        <v>46231</v>
      </c>
      <c r="AL314" s="2">
        <v>140</v>
      </c>
      <c r="AM314" s="2">
        <v>158</v>
      </c>
      <c r="AN314" s="7">
        <f t="shared" si="2"/>
        <v>18</v>
      </c>
    </row>
    <row r="315" spans="1:40" x14ac:dyDescent="0.2">
      <c r="A315" s="13">
        <v>308</v>
      </c>
      <c r="B315" s="42" t="s">
        <v>470</v>
      </c>
      <c r="C315" s="40" t="s">
        <v>18</v>
      </c>
      <c r="D315" s="41">
        <v>46003</v>
      </c>
      <c r="E315" s="40"/>
      <c r="F315" s="40"/>
      <c r="G315" s="40" t="s">
        <v>463</v>
      </c>
      <c r="H315" s="40" t="s">
        <v>268</v>
      </c>
      <c r="I315" s="40"/>
      <c r="J315" s="13" t="s">
        <v>259</v>
      </c>
      <c r="K315" s="2" t="s">
        <v>546</v>
      </c>
      <c r="L315" s="2">
        <v>50</v>
      </c>
      <c r="M315" s="4">
        <v>46231</v>
      </c>
      <c r="AL315" s="2">
        <v>139</v>
      </c>
      <c r="AM315" s="2">
        <v>165</v>
      </c>
      <c r="AN315" s="38">
        <f t="shared" si="2"/>
        <v>26</v>
      </c>
    </row>
    <row r="316" spans="1:40" x14ac:dyDescent="0.2">
      <c r="A316" s="13">
        <v>309</v>
      </c>
      <c r="B316" s="42" t="s">
        <v>471</v>
      </c>
      <c r="C316" s="40" t="s">
        <v>18</v>
      </c>
      <c r="D316" s="41">
        <v>46008</v>
      </c>
      <c r="E316" s="40"/>
      <c r="F316" s="40"/>
      <c r="G316" s="40" t="s">
        <v>463</v>
      </c>
      <c r="H316" s="40" t="s">
        <v>76</v>
      </c>
      <c r="I316" s="40"/>
      <c r="J316" s="13" t="s">
        <v>259</v>
      </c>
      <c r="K316" s="2" t="s">
        <v>546</v>
      </c>
      <c r="L316" s="2">
        <v>50</v>
      </c>
      <c r="M316" s="4">
        <v>46231</v>
      </c>
      <c r="AL316" s="2">
        <v>142</v>
      </c>
      <c r="AM316" s="2">
        <v>163</v>
      </c>
      <c r="AN316" s="38">
        <f t="shared" si="2"/>
        <v>21</v>
      </c>
    </row>
    <row r="317" spans="1:40" x14ac:dyDescent="0.2">
      <c r="A317" s="13">
        <v>310</v>
      </c>
      <c r="B317" s="42" t="s">
        <v>472</v>
      </c>
      <c r="C317" s="40" t="s">
        <v>18</v>
      </c>
      <c r="D317" s="41">
        <v>46011</v>
      </c>
      <c r="E317" s="40"/>
      <c r="F317" s="40"/>
      <c r="G317" s="40" t="s">
        <v>463</v>
      </c>
      <c r="H317" s="40">
        <v>573</v>
      </c>
      <c r="I317" s="40"/>
      <c r="J317" s="13" t="s">
        <v>259</v>
      </c>
      <c r="K317" s="2" t="s">
        <v>546</v>
      </c>
      <c r="L317" s="2">
        <v>70</v>
      </c>
      <c r="M317" s="4">
        <v>46231</v>
      </c>
      <c r="AL317" s="2">
        <v>143</v>
      </c>
      <c r="AM317" s="2">
        <v>166</v>
      </c>
      <c r="AN317" s="38">
        <f t="shared" si="2"/>
        <v>23</v>
      </c>
    </row>
    <row r="318" spans="1:40" x14ac:dyDescent="0.2">
      <c r="A318" s="13">
        <v>311</v>
      </c>
      <c r="B318" s="42" t="s">
        <v>473</v>
      </c>
      <c r="C318" s="40" t="s">
        <v>18</v>
      </c>
      <c r="D318" s="41">
        <v>46016</v>
      </c>
      <c r="E318" s="40"/>
      <c r="F318" s="40"/>
      <c r="G318" s="40" t="s">
        <v>463</v>
      </c>
      <c r="H318" s="40" t="s">
        <v>86</v>
      </c>
      <c r="I318" s="40"/>
      <c r="J318" s="13" t="s">
        <v>259</v>
      </c>
      <c r="K318" s="2" t="s">
        <v>546</v>
      </c>
      <c r="L318" s="2">
        <v>50</v>
      </c>
      <c r="M318" s="4">
        <v>46231</v>
      </c>
      <c r="AL318" s="2">
        <v>132</v>
      </c>
      <c r="AM318" s="2">
        <v>154</v>
      </c>
      <c r="AN318" s="38">
        <f t="shared" si="2"/>
        <v>22</v>
      </c>
    </row>
    <row r="319" spans="1:40" x14ac:dyDescent="0.2">
      <c r="A319" s="13">
        <v>312</v>
      </c>
      <c r="B319" s="42" t="s">
        <v>474</v>
      </c>
      <c r="C319" s="40" t="s">
        <v>18</v>
      </c>
      <c r="D319" s="41">
        <v>46018</v>
      </c>
      <c r="E319" s="40"/>
      <c r="F319" s="40"/>
      <c r="G319" s="40" t="s">
        <v>463</v>
      </c>
      <c r="H319" s="40" t="s">
        <v>118</v>
      </c>
      <c r="I319" s="40"/>
      <c r="J319" s="13" t="s">
        <v>259</v>
      </c>
      <c r="K319" s="2" t="s">
        <v>546</v>
      </c>
      <c r="L319" s="2">
        <v>50</v>
      </c>
      <c r="M319" s="4">
        <v>46231</v>
      </c>
      <c r="AL319" s="2">
        <v>128</v>
      </c>
      <c r="AM319" s="2">
        <v>149</v>
      </c>
      <c r="AN319" s="38">
        <f t="shared" si="2"/>
        <v>21</v>
      </c>
    </row>
    <row r="320" spans="1:40" x14ac:dyDescent="0.2">
      <c r="A320" s="13">
        <v>313</v>
      </c>
      <c r="B320" s="42" t="s">
        <v>475</v>
      </c>
      <c r="C320" s="40" t="s">
        <v>18</v>
      </c>
      <c r="D320" s="41">
        <v>46026</v>
      </c>
      <c r="E320" s="40"/>
      <c r="F320" s="40"/>
      <c r="G320" s="40" t="s">
        <v>463</v>
      </c>
      <c r="H320" s="40" t="s">
        <v>293</v>
      </c>
      <c r="I320" s="40"/>
      <c r="J320" s="13" t="s">
        <v>259</v>
      </c>
      <c r="K320" s="2" t="s">
        <v>546</v>
      </c>
      <c r="L320" s="2"/>
      <c r="M320" s="4">
        <v>46231</v>
      </c>
    </row>
    <row r="321" spans="1:40" x14ac:dyDescent="0.2">
      <c r="A321" s="13">
        <v>314</v>
      </c>
      <c r="B321" s="42" t="s">
        <v>476</v>
      </c>
      <c r="C321" s="40" t="s">
        <v>18</v>
      </c>
      <c r="D321" s="41">
        <v>46030</v>
      </c>
      <c r="E321" s="40"/>
      <c r="F321" s="40"/>
      <c r="G321" s="40" t="s">
        <v>270</v>
      </c>
      <c r="H321" s="40" t="s">
        <v>69</v>
      </c>
      <c r="I321" s="40"/>
      <c r="J321" s="13" t="s">
        <v>259</v>
      </c>
      <c r="K321" s="2" t="s">
        <v>546</v>
      </c>
      <c r="L321" s="2">
        <v>50</v>
      </c>
      <c r="M321" s="4">
        <v>46231</v>
      </c>
      <c r="AL321" s="2">
        <v>109</v>
      </c>
      <c r="AM321" s="2">
        <v>139</v>
      </c>
      <c r="AN321" s="38">
        <f>AM321-AL321</f>
        <v>30</v>
      </c>
    </row>
    <row r="322" spans="1:40" x14ac:dyDescent="0.2">
      <c r="A322" s="13">
        <v>315</v>
      </c>
      <c r="B322" s="42" t="s">
        <v>477</v>
      </c>
      <c r="C322" s="40" t="s">
        <v>18</v>
      </c>
      <c r="D322" s="41">
        <v>46034</v>
      </c>
      <c r="E322" s="40"/>
      <c r="F322" s="40"/>
      <c r="G322" s="40" t="s">
        <v>463</v>
      </c>
      <c r="H322" s="40" t="s">
        <v>215</v>
      </c>
      <c r="I322" s="40"/>
      <c r="J322" s="13" t="s">
        <v>259</v>
      </c>
      <c r="K322" s="2" t="s">
        <v>546</v>
      </c>
      <c r="L322" s="2">
        <v>50</v>
      </c>
      <c r="M322" s="4">
        <v>46231</v>
      </c>
      <c r="AL322" s="2">
        <v>118</v>
      </c>
      <c r="AM322" s="2">
        <v>143</v>
      </c>
      <c r="AN322" s="38">
        <f>AM322-AL322</f>
        <v>25</v>
      </c>
    </row>
    <row r="323" spans="1:40" x14ac:dyDescent="0.2">
      <c r="A323" s="13">
        <v>316</v>
      </c>
      <c r="B323" s="42" t="s">
        <v>478</v>
      </c>
      <c r="C323" s="40" t="s">
        <v>18</v>
      </c>
      <c r="D323" s="41">
        <v>46036</v>
      </c>
      <c r="E323" s="40"/>
      <c r="F323" s="40"/>
      <c r="G323" s="40" t="s">
        <v>463</v>
      </c>
      <c r="H323" s="40" t="s">
        <v>77</v>
      </c>
      <c r="I323" s="40"/>
      <c r="J323" s="13" t="s">
        <v>259</v>
      </c>
      <c r="K323" s="2" t="s">
        <v>546</v>
      </c>
      <c r="L323" s="2">
        <v>30</v>
      </c>
      <c r="M323" s="4">
        <v>46231</v>
      </c>
      <c r="AL323" s="2">
        <v>115</v>
      </c>
      <c r="AM323" s="2">
        <v>133</v>
      </c>
      <c r="AN323" s="38">
        <f>AM323-AL323</f>
        <v>18</v>
      </c>
    </row>
    <row r="324" spans="1:40" x14ac:dyDescent="0.2">
      <c r="A324" s="13">
        <v>317</v>
      </c>
      <c r="B324" s="42" t="s">
        <v>479</v>
      </c>
      <c r="C324" s="40" t="s">
        <v>18</v>
      </c>
      <c r="D324" s="41">
        <v>46041</v>
      </c>
      <c r="E324" s="40"/>
      <c r="F324" s="40"/>
      <c r="G324" s="40" t="s">
        <v>188</v>
      </c>
      <c r="H324" s="40" t="s">
        <v>230</v>
      </c>
      <c r="I324" s="40"/>
      <c r="J324" s="13" t="s">
        <v>259</v>
      </c>
      <c r="K324" s="2" t="s">
        <v>546</v>
      </c>
      <c r="L324" s="2">
        <v>25</v>
      </c>
      <c r="M324" s="4">
        <v>46231</v>
      </c>
      <c r="AL324" s="2">
        <v>77</v>
      </c>
      <c r="AM324" s="2">
        <v>85</v>
      </c>
      <c r="AN324" s="38">
        <f>AM324-AL324</f>
        <v>8</v>
      </c>
    </row>
    <row r="325" spans="1:40" x14ac:dyDescent="0.2">
      <c r="A325" s="13">
        <v>318</v>
      </c>
      <c r="B325" s="42" t="s">
        <v>480</v>
      </c>
      <c r="C325" s="40" t="s">
        <v>63</v>
      </c>
      <c r="D325" s="41">
        <v>46047</v>
      </c>
      <c r="E325" s="40"/>
      <c r="F325" s="40"/>
      <c r="G325" s="40" t="s">
        <v>270</v>
      </c>
      <c r="H325" s="40" t="s">
        <v>319</v>
      </c>
      <c r="I325" s="40"/>
      <c r="J325" s="13" t="s">
        <v>259</v>
      </c>
      <c r="K325" s="2" t="s">
        <v>546</v>
      </c>
      <c r="L325" s="2">
        <v>30</v>
      </c>
      <c r="M325" s="4">
        <v>46231</v>
      </c>
      <c r="AL325" s="2">
        <v>85</v>
      </c>
      <c r="AM325" s="2"/>
      <c r="AN325" s="38"/>
    </row>
    <row r="326" spans="1:40" x14ac:dyDescent="0.2">
      <c r="A326" s="13">
        <v>319</v>
      </c>
      <c r="B326" s="42" t="s">
        <v>481</v>
      </c>
      <c r="C326" s="40" t="s">
        <v>18</v>
      </c>
      <c r="D326" s="41">
        <v>46050</v>
      </c>
      <c r="E326" s="40"/>
      <c r="F326" s="40"/>
      <c r="G326" s="41" t="s">
        <v>482</v>
      </c>
      <c r="H326" s="40" t="s">
        <v>284</v>
      </c>
      <c r="I326" s="40"/>
      <c r="J326" s="13" t="s">
        <v>259</v>
      </c>
      <c r="K326" s="2" t="s">
        <v>546</v>
      </c>
      <c r="L326" s="2">
        <v>50</v>
      </c>
      <c r="M326" s="4">
        <v>46231</v>
      </c>
      <c r="AL326" s="2">
        <v>100</v>
      </c>
      <c r="AM326" s="2">
        <v>124</v>
      </c>
      <c r="AN326" s="38">
        <f>AM326-AL326</f>
        <v>24</v>
      </c>
    </row>
    <row r="327" spans="1:40" x14ac:dyDescent="0.2">
      <c r="A327" s="13">
        <v>320</v>
      </c>
      <c r="B327" s="42" t="s">
        <v>483</v>
      </c>
      <c r="C327" s="40" t="s">
        <v>18</v>
      </c>
      <c r="D327" s="41">
        <v>46050</v>
      </c>
      <c r="E327" s="40"/>
      <c r="F327" s="40"/>
      <c r="G327" s="40" t="s">
        <v>463</v>
      </c>
      <c r="H327" s="40" t="s">
        <v>148</v>
      </c>
      <c r="I327" s="40"/>
      <c r="J327" s="13" t="s">
        <v>259</v>
      </c>
      <c r="K327" s="2" t="s">
        <v>546</v>
      </c>
      <c r="L327" s="2"/>
      <c r="M327" s="4">
        <v>46231</v>
      </c>
    </row>
    <row r="328" spans="1:40" x14ac:dyDescent="0.2">
      <c r="A328" s="13">
        <v>321</v>
      </c>
      <c r="B328" s="42" t="s">
        <v>484</v>
      </c>
      <c r="C328" s="40" t="s">
        <v>18</v>
      </c>
      <c r="D328" s="41">
        <v>46061</v>
      </c>
      <c r="E328" s="40"/>
      <c r="F328" s="40"/>
      <c r="G328" s="40" t="s">
        <v>463</v>
      </c>
      <c r="H328" s="40" t="s">
        <v>101</v>
      </c>
      <c r="I328" s="40"/>
      <c r="J328" s="13" t="s">
        <v>259</v>
      </c>
      <c r="K328" s="2" t="s">
        <v>546</v>
      </c>
      <c r="L328" s="2">
        <v>30</v>
      </c>
      <c r="M328" s="4">
        <v>46231</v>
      </c>
      <c r="AL328" s="2">
        <v>90</v>
      </c>
      <c r="AM328" s="2">
        <v>123</v>
      </c>
      <c r="AN328" s="38">
        <f>AM328-AL328</f>
        <v>33</v>
      </c>
    </row>
    <row r="329" spans="1:40" x14ac:dyDescent="0.2">
      <c r="B329" s="42" t="s">
        <v>566</v>
      </c>
      <c r="C329" s="40" t="s">
        <v>18</v>
      </c>
      <c r="D329" s="55">
        <v>46062</v>
      </c>
      <c r="M329" s="4">
        <v>46231</v>
      </c>
      <c r="AL329" s="2">
        <v>84</v>
      </c>
      <c r="AM329" s="2"/>
      <c r="AN329" s="38"/>
    </row>
    <row r="330" spans="1:40" x14ac:dyDescent="0.2">
      <c r="A330" s="13">
        <v>322</v>
      </c>
      <c r="B330" s="42" t="s">
        <v>485</v>
      </c>
      <c r="C330" s="40" t="s">
        <v>18</v>
      </c>
      <c r="D330" s="41">
        <v>46062</v>
      </c>
      <c r="E330" s="40"/>
      <c r="F330" s="40"/>
      <c r="G330" s="40" t="s">
        <v>430</v>
      </c>
      <c r="H330" s="40" t="s">
        <v>315</v>
      </c>
      <c r="I330" s="40"/>
      <c r="J330" s="13" t="s">
        <v>259</v>
      </c>
      <c r="K330" s="2" t="s">
        <v>546</v>
      </c>
      <c r="L330" s="2">
        <v>50</v>
      </c>
      <c r="M330" s="4">
        <v>46231</v>
      </c>
      <c r="AL330" s="2">
        <v>113</v>
      </c>
      <c r="AM330" s="2">
        <v>143</v>
      </c>
      <c r="AN330" s="38">
        <f t="shared" ref="AN330:AN335" si="3">AM330-AL330</f>
        <v>30</v>
      </c>
    </row>
    <row r="331" spans="1:40" x14ac:dyDescent="0.2">
      <c r="A331" s="13">
        <v>323</v>
      </c>
      <c r="B331" s="42" t="s">
        <v>486</v>
      </c>
      <c r="C331" s="40" t="s">
        <v>18</v>
      </c>
      <c r="D331" s="41">
        <v>46065</v>
      </c>
      <c r="E331" s="40"/>
      <c r="F331" s="40"/>
      <c r="G331" s="40" t="s">
        <v>188</v>
      </c>
      <c r="H331" s="40" t="s">
        <v>269</v>
      </c>
      <c r="I331" s="40"/>
      <c r="J331" s="13" t="s">
        <v>259</v>
      </c>
      <c r="K331" s="2" t="s">
        <v>546</v>
      </c>
      <c r="L331" s="2">
        <v>30</v>
      </c>
      <c r="M331" s="4">
        <v>46231</v>
      </c>
      <c r="AL331" s="2">
        <v>100</v>
      </c>
      <c r="AM331" s="2">
        <v>128</v>
      </c>
      <c r="AN331" s="38">
        <f t="shared" si="3"/>
        <v>28</v>
      </c>
    </row>
    <row r="332" spans="1:40" x14ac:dyDescent="0.2">
      <c r="A332" s="13">
        <v>324</v>
      </c>
      <c r="B332" s="42" t="s">
        <v>487</v>
      </c>
      <c r="C332" s="40" t="s">
        <v>18</v>
      </c>
      <c r="D332" s="41">
        <v>46066</v>
      </c>
      <c r="E332" s="40"/>
      <c r="F332" s="40"/>
      <c r="G332" s="40" t="s">
        <v>303</v>
      </c>
      <c r="H332" s="40" t="s">
        <v>310</v>
      </c>
      <c r="I332" s="40"/>
      <c r="J332" s="13" t="s">
        <v>259</v>
      </c>
      <c r="K332" s="2" t="s">
        <v>546</v>
      </c>
      <c r="L332" s="2">
        <v>50</v>
      </c>
      <c r="M332" s="4">
        <v>46231</v>
      </c>
      <c r="AL332" s="2">
        <v>102</v>
      </c>
      <c r="AM332" s="2">
        <v>128</v>
      </c>
      <c r="AN332" s="38">
        <f t="shared" si="3"/>
        <v>26</v>
      </c>
    </row>
    <row r="333" spans="1:40" x14ac:dyDescent="0.2">
      <c r="A333" s="13"/>
      <c r="B333" s="42"/>
      <c r="C333" s="40"/>
      <c r="D333" s="41"/>
      <c r="E333" s="40"/>
      <c r="F333" s="40"/>
      <c r="G333" s="40"/>
      <c r="H333" s="40"/>
      <c r="I333" s="40"/>
      <c r="J333" s="13"/>
      <c r="K333" s="2"/>
      <c r="L333" s="2"/>
      <c r="M333" s="4"/>
      <c r="AL333" s="2">
        <v>102</v>
      </c>
      <c r="AM333" s="2">
        <v>130</v>
      </c>
      <c r="AN333" s="38">
        <f t="shared" si="3"/>
        <v>28</v>
      </c>
    </row>
    <row r="334" spans="1:40" x14ac:dyDescent="0.2">
      <c r="A334" s="13">
        <v>325</v>
      </c>
      <c r="B334" s="42" t="s">
        <v>488</v>
      </c>
      <c r="C334" s="40" t="s">
        <v>18</v>
      </c>
      <c r="D334" s="41">
        <v>46068</v>
      </c>
      <c r="E334" s="40"/>
      <c r="F334" s="40"/>
      <c r="G334" s="40" t="s">
        <v>489</v>
      </c>
      <c r="H334" s="40" t="s">
        <v>490</v>
      </c>
      <c r="I334" s="40"/>
      <c r="J334" s="13" t="s">
        <v>259</v>
      </c>
      <c r="K334" s="2" t="s">
        <v>546</v>
      </c>
      <c r="L334" s="2"/>
      <c r="M334" s="4">
        <v>46231</v>
      </c>
      <c r="AL334" s="2">
        <v>85</v>
      </c>
      <c r="AM334" s="2">
        <v>106</v>
      </c>
      <c r="AN334" s="38">
        <f t="shared" si="3"/>
        <v>21</v>
      </c>
    </row>
    <row r="335" spans="1:40" x14ac:dyDescent="0.2">
      <c r="A335" s="13">
        <v>326</v>
      </c>
      <c r="B335" s="42" t="s">
        <v>491</v>
      </c>
      <c r="C335" s="40" t="s">
        <v>18</v>
      </c>
      <c r="D335" s="41">
        <v>46078</v>
      </c>
      <c r="E335" s="40"/>
      <c r="F335" s="40"/>
      <c r="G335" s="40" t="s">
        <v>492</v>
      </c>
      <c r="H335" s="40" t="s">
        <v>300</v>
      </c>
      <c r="I335" s="40"/>
      <c r="J335" s="13" t="s">
        <v>259</v>
      </c>
      <c r="K335" s="2" t="s">
        <v>546</v>
      </c>
      <c r="L335" s="2">
        <v>25</v>
      </c>
      <c r="M335" s="4">
        <v>46231</v>
      </c>
      <c r="AL335" s="2">
        <v>69</v>
      </c>
      <c r="AM335" s="2">
        <v>80</v>
      </c>
      <c r="AN335" s="38">
        <f t="shared" si="3"/>
        <v>11</v>
      </c>
    </row>
    <row r="336" spans="1:40" x14ac:dyDescent="0.2">
      <c r="A336" s="13">
        <v>327</v>
      </c>
      <c r="B336" s="42" t="s">
        <v>493</v>
      </c>
      <c r="C336" s="40" t="s">
        <v>18</v>
      </c>
      <c r="D336" s="41">
        <v>46079</v>
      </c>
      <c r="E336" s="40"/>
      <c r="F336" s="40"/>
      <c r="G336" s="40" t="s">
        <v>489</v>
      </c>
      <c r="H336" s="40" t="s">
        <v>307</v>
      </c>
      <c r="I336" s="40"/>
      <c r="J336" s="13" t="s">
        <v>259</v>
      </c>
      <c r="K336" s="2" t="s">
        <v>546</v>
      </c>
      <c r="L336" s="2"/>
      <c r="M336" s="4">
        <v>46231</v>
      </c>
    </row>
    <row r="337" spans="1:40" x14ac:dyDescent="0.2">
      <c r="A337" s="13">
        <v>328</v>
      </c>
      <c r="B337" s="42" t="s">
        <v>494</v>
      </c>
      <c r="C337" s="40" t="s">
        <v>18</v>
      </c>
      <c r="D337" s="41">
        <v>46081</v>
      </c>
      <c r="E337" s="40"/>
      <c r="F337" s="40"/>
      <c r="G337" s="40" t="s">
        <v>495</v>
      </c>
      <c r="H337" s="40" t="s">
        <v>133</v>
      </c>
      <c r="I337" s="40"/>
      <c r="J337" s="13" t="s">
        <v>259</v>
      </c>
      <c r="K337" s="2" t="s">
        <v>546</v>
      </c>
      <c r="L337" s="2">
        <v>30</v>
      </c>
      <c r="M337" s="4">
        <v>46231</v>
      </c>
      <c r="AL337" s="2">
        <v>99</v>
      </c>
      <c r="AM337" s="2">
        <v>109</v>
      </c>
      <c r="AN337" s="38">
        <f>AM337-AL337</f>
        <v>10</v>
      </c>
    </row>
    <row r="338" spans="1:40" x14ac:dyDescent="0.2">
      <c r="B338" s="42" t="s">
        <v>494</v>
      </c>
      <c r="C338" s="40" t="s">
        <v>18</v>
      </c>
      <c r="D338" s="55">
        <v>46081</v>
      </c>
      <c r="M338" s="4">
        <v>46231</v>
      </c>
    </row>
    <row r="339" spans="1:40" x14ac:dyDescent="0.2">
      <c r="A339" s="13">
        <v>329</v>
      </c>
      <c r="B339" s="42" t="s">
        <v>496</v>
      </c>
      <c r="C339" s="40" t="s">
        <v>18</v>
      </c>
      <c r="D339" s="41">
        <v>46084</v>
      </c>
      <c r="E339" s="40"/>
      <c r="F339" s="40"/>
      <c r="G339" s="40" t="s">
        <v>463</v>
      </c>
      <c r="H339" s="40" t="s">
        <v>331</v>
      </c>
      <c r="I339" s="40"/>
      <c r="J339" s="13" t="s">
        <v>259</v>
      </c>
      <c r="K339" s="2" t="s">
        <v>546</v>
      </c>
      <c r="L339" s="2">
        <v>25</v>
      </c>
      <c r="M339" s="4">
        <v>46231</v>
      </c>
      <c r="AL339" s="2">
        <v>87</v>
      </c>
      <c r="AM339" s="2">
        <v>100</v>
      </c>
      <c r="AN339" s="38">
        <f t="shared" ref="AN339:AN351" si="4">AM339-AL339</f>
        <v>13</v>
      </c>
    </row>
    <row r="340" spans="1:40" x14ac:dyDescent="0.2">
      <c r="A340" s="13">
        <v>330</v>
      </c>
      <c r="B340" s="42" t="s">
        <v>497</v>
      </c>
      <c r="C340" s="40" t="s">
        <v>18</v>
      </c>
      <c r="D340" s="41">
        <v>46086</v>
      </c>
      <c r="E340" s="40"/>
      <c r="F340" s="40"/>
      <c r="G340" s="40" t="s">
        <v>495</v>
      </c>
      <c r="H340" s="40" t="s">
        <v>71</v>
      </c>
      <c r="I340" s="40"/>
      <c r="J340" s="13" t="s">
        <v>259</v>
      </c>
      <c r="K340" s="2" t="s">
        <v>546</v>
      </c>
      <c r="L340" s="2">
        <v>25</v>
      </c>
      <c r="M340" s="4">
        <v>46231</v>
      </c>
      <c r="AL340" s="2">
        <v>80</v>
      </c>
      <c r="AM340" s="2">
        <v>83</v>
      </c>
      <c r="AN340" s="38">
        <f t="shared" si="4"/>
        <v>3</v>
      </c>
    </row>
    <row r="341" spans="1:40" x14ac:dyDescent="0.2">
      <c r="A341" s="13">
        <v>331</v>
      </c>
      <c r="B341" s="42" t="s">
        <v>498</v>
      </c>
      <c r="C341" s="40" t="s">
        <v>18</v>
      </c>
      <c r="D341" s="41">
        <v>46086</v>
      </c>
      <c r="E341" s="40"/>
      <c r="F341" s="40"/>
      <c r="G341" s="40" t="s">
        <v>489</v>
      </c>
      <c r="H341" s="40" t="s">
        <v>355</v>
      </c>
      <c r="I341" s="40"/>
      <c r="J341" s="13" t="s">
        <v>259</v>
      </c>
      <c r="K341" s="2" t="s">
        <v>546</v>
      </c>
      <c r="L341" s="2">
        <v>30</v>
      </c>
      <c r="M341" s="4">
        <v>46231</v>
      </c>
      <c r="AL341" s="2">
        <v>90</v>
      </c>
      <c r="AM341" s="2">
        <v>116</v>
      </c>
      <c r="AN341" s="38">
        <f t="shared" si="4"/>
        <v>26</v>
      </c>
    </row>
    <row r="342" spans="1:40" x14ac:dyDescent="0.2">
      <c r="A342" s="13">
        <v>332</v>
      </c>
      <c r="B342" s="42" t="s">
        <v>499</v>
      </c>
      <c r="C342" s="40" t="s">
        <v>18</v>
      </c>
      <c r="D342" s="41">
        <v>46086</v>
      </c>
      <c r="E342" s="40"/>
      <c r="F342" s="40"/>
      <c r="G342" s="40" t="s">
        <v>489</v>
      </c>
      <c r="H342" s="40" t="s">
        <v>288</v>
      </c>
      <c r="I342" s="40"/>
      <c r="J342" s="13" t="s">
        <v>259</v>
      </c>
      <c r="K342" s="2" t="s">
        <v>546</v>
      </c>
      <c r="L342" s="2">
        <v>45</v>
      </c>
      <c r="M342" s="4">
        <v>46231</v>
      </c>
      <c r="AL342" s="2">
        <v>104</v>
      </c>
      <c r="AM342" s="2">
        <v>115</v>
      </c>
      <c r="AN342" s="38">
        <f t="shared" si="4"/>
        <v>11</v>
      </c>
    </row>
    <row r="343" spans="1:40" x14ac:dyDescent="0.2">
      <c r="A343" s="13">
        <v>333</v>
      </c>
      <c r="B343" s="42" t="s">
        <v>500</v>
      </c>
      <c r="C343" s="40" t="s">
        <v>63</v>
      </c>
      <c r="D343" s="41">
        <v>46087</v>
      </c>
      <c r="E343" s="40"/>
      <c r="F343" s="40"/>
      <c r="G343" s="40" t="s">
        <v>270</v>
      </c>
      <c r="H343" s="40" t="s">
        <v>187</v>
      </c>
      <c r="I343" s="40"/>
      <c r="J343" s="13" t="s">
        <v>259</v>
      </c>
      <c r="K343" s="2" t="s">
        <v>546</v>
      </c>
      <c r="L343" s="2">
        <v>30</v>
      </c>
      <c r="M343" s="4">
        <v>46231</v>
      </c>
      <c r="AL343" s="2">
        <v>75</v>
      </c>
      <c r="AM343" s="2">
        <v>96</v>
      </c>
      <c r="AN343" s="38">
        <f t="shared" si="4"/>
        <v>21</v>
      </c>
    </row>
    <row r="344" spans="1:40" x14ac:dyDescent="0.2">
      <c r="A344" s="13">
        <v>334</v>
      </c>
      <c r="B344" s="42" t="s">
        <v>501</v>
      </c>
      <c r="C344" s="40" t="s">
        <v>18</v>
      </c>
      <c r="D344" s="41">
        <v>46093</v>
      </c>
      <c r="E344" s="40"/>
      <c r="F344" s="40"/>
      <c r="G344" s="40" t="s">
        <v>495</v>
      </c>
      <c r="H344" s="40" t="s">
        <v>302</v>
      </c>
      <c r="I344" s="40"/>
      <c r="J344" s="13" t="s">
        <v>259</v>
      </c>
      <c r="K344" s="2" t="s">
        <v>546</v>
      </c>
      <c r="L344" s="2">
        <v>30</v>
      </c>
      <c r="M344" s="4">
        <v>46231</v>
      </c>
      <c r="AL344" s="2">
        <v>91</v>
      </c>
      <c r="AM344" s="2">
        <v>110</v>
      </c>
      <c r="AN344" s="38">
        <f t="shared" si="4"/>
        <v>19</v>
      </c>
    </row>
    <row r="345" spans="1:40" x14ac:dyDescent="0.2">
      <c r="A345" s="13">
        <v>335</v>
      </c>
      <c r="B345" s="42" t="s">
        <v>502</v>
      </c>
      <c r="C345" s="40" t="s">
        <v>18</v>
      </c>
      <c r="D345" s="41">
        <v>46095</v>
      </c>
      <c r="E345" s="40"/>
      <c r="F345" s="40"/>
      <c r="G345" s="40" t="s">
        <v>492</v>
      </c>
      <c r="H345" s="40" t="s">
        <v>222</v>
      </c>
      <c r="I345" s="40"/>
      <c r="J345" s="13" t="s">
        <v>259</v>
      </c>
      <c r="K345" s="2" t="s">
        <v>546</v>
      </c>
      <c r="L345" s="2">
        <v>25</v>
      </c>
      <c r="M345" s="4">
        <v>46231</v>
      </c>
      <c r="AL345" s="2">
        <v>80</v>
      </c>
      <c r="AM345" s="2">
        <v>105</v>
      </c>
      <c r="AN345" s="38">
        <f t="shared" si="4"/>
        <v>25</v>
      </c>
    </row>
    <row r="346" spans="1:40" x14ac:dyDescent="0.2">
      <c r="A346" s="13">
        <v>336</v>
      </c>
      <c r="B346" s="42" t="s">
        <v>503</v>
      </c>
      <c r="C346" s="40" t="s">
        <v>18</v>
      </c>
      <c r="D346" s="41">
        <v>46096</v>
      </c>
      <c r="E346" s="40"/>
      <c r="F346" s="40"/>
      <c r="G346" s="40" t="s">
        <v>492</v>
      </c>
      <c r="H346" s="40" t="s">
        <v>329</v>
      </c>
      <c r="I346" s="40"/>
      <c r="J346" s="13" t="s">
        <v>259</v>
      </c>
      <c r="K346" s="2" t="s">
        <v>546</v>
      </c>
      <c r="L346" s="2"/>
      <c r="M346" s="4">
        <v>46231</v>
      </c>
      <c r="AL346" s="2">
        <v>88</v>
      </c>
      <c r="AM346" s="2">
        <v>95</v>
      </c>
      <c r="AN346" s="38">
        <f t="shared" si="4"/>
        <v>7</v>
      </c>
    </row>
    <row r="347" spans="1:40" x14ac:dyDescent="0.2">
      <c r="A347" s="13">
        <v>337</v>
      </c>
      <c r="B347" s="42" t="s">
        <v>504</v>
      </c>
      <c r="C347" s="40" t="s">
        <v>18</v>
      </c>
      <c r="D347" s="41">
        <v>46097</v>
      </c>
      <c r="E347" s="40"/>
      <c r="F347" s="40"/>
      <c r="G347" s="40" t="s">
        <v>492</v>
      </c>
      <c r="H347" s="40" t="s">
        <v>280</v>
      </c>
      <c r="I347" s="40"/>
      <c r="J347" s="13" t="s">
        <v>259</v>
      </c>
      <c r="K347" s="2" t="s">
        <v>546</v>
      </c>
      <c r="L347" s="2">
        <v>25</v>
      </c>
      <c r="M347" s="4">
        <v>46231</v>
      </c>
      <c r="AL347" s="2">
        <v>72</v>
      </c>
      <c r="AM347" s="2">
        <v>87</v>
      </c>
      <c r="AN347" s="38">
        <f t="shared" si="4"/>
        <v>15</v>
      </c>
    </row>
    <row r="348" spans="1:40" x14ac:dyDescent="0.2">
      <c r="A348" s="13">
        <v>338</v>
      </c>
      <c r="B348" s="42" t="s">
        <v>505</v>
      </c>
      <c r="C348" s="40" t="s">
        <v>18</v>
      </c>
      <c r="D348" s="41">
        <v>46098</v>
      </c>
      <c r="E348" s="40"/>
      <c r="F348" s="40"/>
      <c r="G348" s="40" t="s">
        <v>489</v>
      </c>
      <c r="H348" s="40" t="s">
        <v>506</v>
      </c>
      <c r="I348" s="40"/>
      <c r="J348" s="13" t="s">
        <v>259</v>
      </c>
      <c r="K348" s="2" t="s">
        <v>546</v>
      </c>
      <c r="L348" s="2">
        <v>30</v>
      </c>
      <c r="M348" s="4">
        <v>46231</v>
      </c>
      <c r="AL348" s="2">
        <v>85</v>
      </c>
      <c r="AM348" s="2">
        <v>105</v>
      </c>
      <c r="AN348" s="38">
        <f t="shared" si="4"/>
        <v>20</v>
      </c>
    </row>
    <row r="349" spans="1:40" x14ac:dyDescent="0.2">
      <c r="A349" s="13">
        <v>339</v>
      </c>
      <c r="B349" s="42" t="s">
        <v>507</v>
      </c>
      <c r="C349" s="40" t="s">
        <v>18</v>
      </c>
      <c r="D349" s="41">
        <v>46098</v>
      </c>
      <c r="E349" s="40"/>
      <c r="F349" s="40"/>
      <c r="G349" s="40" t="s">
        <v>492</v>
      </c>
      <c r="H349" s="40" t="s">
        <v>336</v>
      </c>
      <c r="I349" s="40"/>
      <c r="J349" s="13" t="s">
        <v>259</v>
      </c>
      <c r="K349" s="2" t="s">
        <v>546</v>
      </c>
      <c r="L349" s="2">
        <v>30</v>
      </c>
      <c r="M349" s="4">
        <v>46231</v>
      </c>
      <c r="AL349" s="2">
        <v>82</v>
      </c>
      <c r="AM349" s="2">
        <v>100</v>
      </c>
      <c r="AN349" s="38">
        <f t="shared" si="4"/>
        <v>18</v>
      </c>
    </row>
    <row r="350" spans="1:40" x14ac:dyDescent="0.2">
      <c r="A350" s="13">
        <v>340</v>
      </c>
      <c r="B350" s="42" t="s">
        <v>508</v>
      </c>
      <c r="C350" s="40" t="s">
        <v>18</v>
      </c>
      <c r="D350" s="41">
        <v>46111</v>
      </c>
      <c r="E350" s="40"/>
      <c r="F350" s="40"/>
      <c r="G350" s="40" t="s">
        <v>492</v>
      </c>
      <c r="H350" s="40" t="s">
        <v>291</v>
      </c>
      <c r="I350" s="40"/>
      <c r="J350" s="13" t="s">
        <v>259</v>
      </c>
      <c r="K350" s="2" t="s">
        <v>546</v>
      </c>
      <c r="L350" s="2">
        <v>25</v>
      </c>
      <c r="M350" s="4">
        <v>46231</v>
      </c>
      <c r="AL350" s="2">
        <v>75</v>
      </c>
      <c r="AM350" s="2">
        <v>95</v>
      </c>
      <c r="AN350" s="38">
        <f t="shared" si="4"/>
        <v>20</v>
      </c>
    </row>
    <row r="351" spans="1:40" x14ac:dyDescent="0.2">
      <c r="A351" s="13">
        <v>341</v>
      </c>
      <c r="B351" s="42" t="s">
        <v>509</v>
      </c>
      <c r="C351" s="40" t="s">
        <v>73</v>
      </c>
      <c r="D351" s="41">
        <v>46116</v>
      </c>
      <c r="E351" s="40"/>
      <c r="F351" s="40"/>
      <c r="G351" s="40" t="s">
        <v>495</v>
      </c>
      <c r="H351" s="40" t="s">
        <v>65</v>
      </c>
      <c r="I351" s="40"/>
      <c r="J351" s="40" t="s">
        <v>510</v>
      </c>
      <c r="K351" s="2" t="s">
        <v>546</v>
      </c>
      <c r="L351" s="2">
        <v>25</v>
      </c>
      <c r="M351" s="4">
        <v>46231</v>
      </c>
      <c r="AL351" s="47"/>
      <c r="AM351" s="2">
        <v>103</v>
      </c>
      <c r="AN351" s="38">
        <f t="shared" si="4"/>
        <v>103</v>
      </c>
    </row>
    <row r="352" spans="1:40" x14ac:dyDescent="0.2">
      <c r="A352" s="13">
        <v>342</v>
      </c>
      <c r="B352" s="42" t="s">
        <v>511</v>
      </c>
      <c r="C352" s="40" t="s">
        <v>18</v>
      </c>
      <c r="D352" s="41">
        <v>46117</v>
      </c>
      <c r="E352" s="40"/>
      <c r="F352" s="40"/>
      <c r="G352" s="40" t="s">
        <v>492</v>
      </c>
      <c r="H352" s="40" t="s">
        <v>335</v>
      </c>
      <c r="I352" s="40"/>
      <c r="J352" s="40" t="s">
        <v>510</v>
      </c>
      <c r="K352" s="2" t="s">
        <v>546</v>
      </c>
      <c r="L352" s="2">
        <v>25</v>
      </c>
      <c r="M352" s="4">
        <v>46231</v>
      </c>
      <c r="AL352" s="47"/>
      <c r="AM352" s="2">
        <v>98</v>
      </c>
      <c r="AN352" s="38">
        <f>AM351-AL351</f>
        <v>103</v>
      </c>
    </row>
    <row r="353" spans="1:40" x14ac:dyDescent="0.2">
      <c r="A353" s="13">
        <v>343</v>
      </c>
      <c r="B353" s="42" t="s">
        <v>543</v>
      </c>
      <c r="C353" s="40" t="s">
        <v>18</v>
      </c>
      <c r="D353" s="41">
        <v>46128</v>
      </c>
      <c r="E353" s="40"/>
      <c r="F353" s="40"/>
      <c r="G353" s="40" t="s">
        <v>489</v>
      </c>
      <c r="H353" s="40" t="s">
        <v>252</v>
      </c>
      <c r="I353" s="40"/>
      <c r="J353" s="40" t="s">
        <v>510</v>
      </c>
      <c r="K353" s="2" t="s">
        <v>546</v>
      </c>
      <c r="L353" s="2">
        <v>30</v>
      </c>
      <c r="M353" s="4">
        <v>46231</v>
      </c>
      <c r="AL353" s="47"/>
      <c r="AM353" s="2"/>
      <c r="AN353" s="51"/>
    </row>
    <row r="354" spans="1:40" x14ac:dyDescent="0.2">
      <c r="A354" s="13">
        <v>344</v>
      </c>
      <c r="B354" s="42" t="s">
        <v>512</v>
      </c>
      <c r="C354" s="40" t="s">
        <v>18</v>
      </c>
      <c r="D354" s="41">
        <v>46130</v>
      </c>
      <c r="E354" s="40"/>
      <c r="F354" s="40"/>
      <c r="G354" s="40" t="s">
        <v>489</v>
      </c>
      <c r="H354" s="40" t="s">
        <v>151</v>
      </c>
      <c r="I354" s="40"/>
      <c r="J354" s="40" t="s">
        <v>510</v>
      </c>
      <c r="K354" s="2" t="s">
        <v>546</v>
      </c>
      <c r="L354" s="2">
        <v>25</v>
      </c>
      <c r="M354" s="4">
        <v>46231</v>
      </c>
      <c r="AL354" s="47"/>
      <c r="AM354" s="2"/>
      <c r="AN354" s="51"/>
    </row>
    <row r="355" spans="1:40" x14ac:dyDescent="0.2">
      <c r="A355" s="13">
        <v>345</v>
      </c>
      <c r="B355" s="42" t="s">
        <v>513</v>
      </c>
      <c r="C355" s="40" t="s">
        <v>18</v>
      </c>
      <c r="D355" s="41">
        <v>46135</v>
      </c>
      <c r="E355" s="40"/>
      <c r="F355" s="40"/>
      <c r="G355" s="40" t="s">
        <v>492</v>
      </c>
      <c r="H355" s="40" t="s">
        <v>265</v>
      </c>
      <c r="I355" s="40"/>
      <c r="J355" s="40" t="s">
        <v>510</v>
      </c>
      <c r="K355" s="2" t="s">
        <v>546</v>
      </c>
      <c r="L355" s="2">
        <v>25</v>
      </c>
      <c r="M355" s="4">
        <v>46231</v>
      </c>
      <c r="AL355" s="47"/>
      <c r="AM355" s="2"/>
      <c r="AN355" s="51"/>
    </row>
    <row r="356" spans="1:40" x14ac:dyDescent="0.2">
      <c r="A356" s="13">
        <v>346</v>
      </c>
      <c r="B356" s="42" t="s">
        <v>514</v>
      </c>
      <c r="C356" s="40" t="s">
        <v>18</v>
      </c>
      <c r="D356" s="41">
        <v>46138</v>
      </c>
      <c r="E356" s="40"/>
      <c r="F356" s="40"/>
      <c r="G356" s="40" t="s">
        <v>20</v>
      </c>
      <c r="H356" s="40" t="s">
        <v>174</v>
      </c>
      <c r="I356" s="40"/>
      <c r="J356" s="40" t="s">
        <v>510</v>
      </c>
      <c r="K356" s="2" t="s">
        <v>546</v>
      </c>
      <c r="L356" s="2">
        <v>25</v>
      </c>
      <c r="M356" s="4">
        <v>46231</v>
      </c>
      <c r="AL356" s="47"/>
      <c r="AM356" s="2"/>
      <c r="AN356" s="51"/>
    </row>
    <row r="357" spans="1:40" x14ac:dyDescent="0.2">
      <c r="A357" s="13">
        <v>347</v>
      </c>
      <c r="B357" s="42" t="s">
        <v>515</v>
      </c>
      <c r="C357" s="40" t="s">
        <v>18</v>
      </c>
      <c r="D357" s="41">
        <v>46139</v>
      </c>
      <c r="E357" s="40"/>
      <c r="F357" s="40"/>
      <c r="G357" s="40" t="s">
        <v>489</v>
      </c>
      <c r="H357" s="40" t="s">
        <v>108</v>
      </c>
      <c r="I357" s="40"/>
      <c r="J357" s="40" t="s">
        <v>510</v>
      </c>
      <c r="K357" s="2" t="s">
        <v>546</v>
      </c>
      <c r="L357" s="2"/>
      <c r="M357" s="4">
        <v>46231</v>
      </c>
    </row>
    <row r="358" spans="1:40" x14ac:dyDescent="0.2">
      <c r="A358" s="13">
        <v>348</v>
      </c>
      <c r="B358" s="42" t="s">
        <v>516</v>
      </c>
      <c r="C358" s="40" t="s">
        <v>18</v>
      </c>
      <c r="D358" s="41">
        <v>46140</v>
      </c>
      <c r="E358" s="40"/>
      <c r="F358" s="40"/>
      <c r="G358" s="40" t="s">
        <v>492</v>
      </c>
      <c r="H358" s="40" t="s">
        <v>333</v>
      </c>
      <c r="I358" s="40"/>
      <c r="J358" s="40" t="s">
        <v>510</v>
      </c>
      <c r="K358" s="2" t="s">
        <v>546</v>
      </c>
      <c r="L358" s="2">
        <v>25</v>
      </c>
      <c r="M358" s="4">
        <v>46231</v>
      </c>
    </row>
    <row r="359" spans="1:40" x14ac:dyDescent="0.2">
      <c r="A359" s="13">
        <v>349</v>
      </c>
      <c r="B359" s="42" t="s">
        <v>517</v>
      </c>
      <c r="C359" s="40" t="s">
        <v>18</v>
      </c>
      <c r="D359" s="41">
        <v>46140</v>
      </c>
      <c r="E359" s="40"/>
      <c r="F359" s="40"/>
      <c r="G359" s="40" t="s">
        <v>492</v>
      </c>
      <c r="H359" s="40" t="s">
        <v>154</v>
      </c>
      <c r="I359" s="40"/>
      <c r="J359" s="40" t="s">
        <v>510</v>
      </c>
      <c r="K359" s="2" t="s">
        <v>546</v>
      </c>
      <c r="L359" s="2">
        <v>20</v>
      </c>
      <c r="M359" s="4">
        <v>46231</v>
      </c>
    </row>
    <row r="360" spans="1:40" x14ac:dyDescent="0.2">
      <c r="A360" s="13">
        <v>350</v>
      </c>
      <c r="B360" s="42" t="s">
        <v>518</v>
      </c>
      <c r="C360" s="40" t="s">
        <v>18</v>
      </c>
      <c r="D360" s="41">
        <v>46142</v>
      </c>
      <c r="E360" s="40"/>
      <c r="F360" s="40"/>
      <c r="G360" s="40" t="s">
        <v>492</v>
      </c>
      <c r="H360" s="40" t="s">
        <v>289</v>
      </c>
      <c r="I360" s="40"/>
      <c r="J360" s="40" t="s">
        <v>510</v>
      </c>
      <c r="K360" s="2" t="s">
        <v>546</v>
      </c>
      <c r="L360" s="2">
        <v>25</v>
      </c>
      <c r="M360" s="4">
        <v>46231</v>
      </c>
    </row>
    <row r="361" spans="1:40" x14ac:dyDescent="0.2">
      <c r="A361" s="13">
        <v>351</v>
      </c>
      <c r="B361" s="42" t="s">
        <v>519</v>
      </c>
      <c r="C361" s="40" t="s">
        <v>18</v>
      </c>
      <c r="D361" s="41">
        <v>46143</v>
      </c>
      <c r="E361" s="40"/>
      <c r="F361" s="40"/>
      <c r="G361" s="40" t="s">
        <v>492</v>
      </c>
      <c r="H361" s="40" t="s">
        <v>321</v>
      </c>
      <c r="I361" s="40"/>
      <c r="J361" s="40" t="s">
        <v>510</v>
      </c>
      <c r="K361" s="2" t="s">
        <v>546</v>
      </c>
      <c r="L361" s="2"/>
    </row>
    <row r="362" spans="1:40" x14ac:dyDescent="0.2">
      <c r="A362" s="13">
        <v>352</v>
      </c>
      <c r="B362" s="42" t="s">
        <v>520</v>
      </c>
      <c r="C362" s="40" t="s">
        <v>18</v>
      </c>
      <c r="D362" s="41">
        <v>46143</v>
      </c>
      <c r="E362" s="40"/>
      <c r="F362" s="40"/>
      <c r="G362" s="40" t="s">
        <v>489</v>
      </c>
      <c r="H362" s="40" t="s">
        <v>416</v>
      </c>
      <c r="I362" s="40"/>
      <c r="J362" s="40" t="s">
        <v>510</v>
      </c>
      <c r="K362" s="2" t="s">
        <v>546</v>
      </c>
      <c r="L362" s="2">
        <v>25</v>
      </c>
    </row>
    <row r="363" spans="1:40" x14ac:dyDescent="0.2">
      <c r="A363" s="13">
        <v>3</v>
      </c>
      <c r="B363" s="62" t="s">
        <v>562</v>
      </c>
      <c r="C363" s="63" t="s">
        <v>18</v>
      </c>
      <c r="D363" s="64">
        <v>46144</v>
      </c>
      <c r="E363" s="63"/>
      <c r="F363" s="63"/>
      <c r="G363" s="60"/>
      <c r="H363" s="63"/>
      <c r="I363" s="63"/>
      <c r="J363" s="65" t="s">
        <v>563</v>
      </c>
      <c r="K363" s="2"/>
      <c r="L363" s="2"/>
    </row>
    <row r="364" spans="1:40" x14ac:dyDescent="0.2">
      <c r="A364" s="13">
        <v>353</v>
      </c>
      <c r="B364" s="42" t="s">
        <v>521</v>
      </c>
      <c r="C364" s="40" t="s">
        <v>18</v>
      </c>
      <c r="D364" s="41">
        <v>46147</v>
      </c>
      <c r="E364" s="40"/>
      <c r="F364" s="40"/>
      <c r="G364" s="40" t="s">
        <v>492</v>
      </c>
      <c r="H364" s="40" t="s">
        <v>326</v>
      </c>
      <c r="I364" s="40"/>
      <c r="J364" s="40" t="s">
        <v>510</v>
      </c>
      <c r="K364" s="2" t="s">
        <v>546</v>
      </c>
      <c r="L364" s="2"/>
    </row>
    <row r="365" spans="1:40" x14ac:dyDescent="0.2">
      <c r="A365" s="13">
        <v>354</v>
      </c>
      <c r="B365" s="42" t="s">
        <v>522</v>
      </c>
      <c r="C365" s="40" t="s">
        <v>18</v>
      </c>
      <c r="D365" s="41">
        <v>46147</v>
      </c>
      <c r="E365" s="40"/>
      <c r="F365" s="40"/>
      <c r="G365" s="40" t="s">
        <v>492</v>
      </c>
      <c r="H365" s="40" t="s">
        <v>297</v>
      </c>
      <c r="I365" s="40"/>
      <c r="J365" s="40" t="s">
        <v>510</v>
      </c>
      <c r="K365" s="2" t="s">
        <v>546</v>
      </c>
      <c r="L365" s="2"/>
    </row>
    <row r="366" spans="1:40" x14ac:dyDescent="0.2">
      <c r="A366" s="13">
        <v>355</v>
      </c>
      <c r="B366" s="42" t="s">
        <v>523</v>
      </c>
      <c r="C366" s="40" t="s">
        <v>18</v>
      </c>
      <c r="D366" s="41">
        <v>46147</v>
      </c>
      <c r="E366" s="40"/>
      <c r="F366" s="40"/>
      <c r="G366" s="40" t="s">
        <v>492</v>
      </c>
      <c r="H366" s="40" t="s">
        <v>294</v>
      </c>
      <c r="I366" s="40"/>
      <c r="J366" s="40" t="s">
        <v>510</v>
      </c>
      <c r="K366" s="2" t="s">
        <v>546</v>
      </c>
      <c r="L366" s="2"/>
    </row>
    <row r="367" spans="1:40" x14ac:dyDescent="0.2">
      <c r="A367" s="13">
        <v>356</v>
      </c>
      <c r="B367" s="42" t="s">
        <v>524</v>
      </c>
      <c r="C367" s="40" t="s">
        <v>18</v>
      </c>
      <c r="D367" s="41">
        <v>46151</v>
      </c>
      <c r="E367" s="40"/>
      <c r="F367" s="40"/>
      <c r="G367" s="40" t="s">
        <v>492</v>
      </c>
      <c r="H367" s="40" t="s">
        <v>334</v>
      </c>
      <c r="I367" s="40"/>
      <c r="J367" s="40" t="s">
        <v>510</v>
      </c>
      <c r="K367" s="2" t="s">
        <v>546</v>
      </c>
      <c r="L367" s="2"/>
    </row>
    <row r="368" spans="1:40" x14ac:dyDescent="0.2">
      <c r="A368" s="13">
        <v>357</v>
      </c>
      <c r="B368" s="42" t="s">
        <v>525</v>
      </c>
      <c r="C368" s="40" t="s">
        <v>63</v>
      </c>
      <c r="D368" s="41">
        <v>46151</v>
      </c>
      <c r="E368" s="40"/>
      <c r="F368" s="40"/>
      <c r="G368" s="40" t="s">
        <v>270</v>
      </c>
      <c r="H368" s="40" t="s">
        <v>83</v>
      </c>
      <c r="I368" s="40"/>
      <c r="J368" s="40" t="s">
        <v>510</v>
      </c>
      <c r="K368" s="2" t="s">
        <v>546</v>
      </c>
      <c r="L368" s="2"/>
    </row>
    <row r="369" spans="1:12" x14ac:dyDescent="0.2">
      <c r="A369" s="13">
        <v>358</v>
      </c>
      <c r="B369" s="42" t="s">
        <v>526</v>
      </c>
      <c r="C369" s="40" t="s">
        <v>18</v>
      </c>
      <c r="D369" s="41">
        <v>46160</v>
      </c>
      <c r="E369" s="40"/>
      <c r="F369" s="40"/>
      <c r="G369" s="40" t="s">
        <v>492</v>
      </c>
      <c r="H369" s="40" t="s">
        <v>323</v>
      </c>
      <c r="I369" s="40"/>
      <c r="J369" s="40" t="s">
        <v>510</v>
      </c>
      <c r="K369" s="2" t="s">
        <v>546</v>
      </c>
      <c r="L369" s="2"/>
    </row>
    <row r="370" spans="1:12" x14ac:dyDescent="0.2">
      <c r="A370" s="13">
        <v>359</v>
      </c>
      <c r="B370" s="42" t="s">
        <v>527</v>
      </c>
      <c r="C370" s="40" t="s">
        <v>18</v>
      </c>
      <c r="D370" s="41">
        <v>46164</v>
      </c>
      <c r="E370" s="40"/>
      <c r="F370" s="40"/>
      <c r="G370" s="40" t="s">
        <v>528</v>
      </c>
      <c r="H370" s="40" t="s">
        <v>212</v>
      </c>
      <c r="I370" s="40"/>
      <c r="J370" s="40" t="s">
        <v>510</v>
      </c>
      <c r="K370" s="2" t="s">
        <v>546</v>
      </c>
      <c r="L370" s="2"/>
    </row>
    <row r="371" spans="1:12" x14ac:dyDescent="0.2">
      <c r="A371" s="13">
        <v>360</v>
      </c>
      <c r="B371" s="42" t="s">
        <v>529</v>
      </c>
      <c r="C371" s="40" t="s">
        <v>18</v>
      </c>
      <c r="D371" s="41">
        <v>46170</v>
      </c>
      <c r="E371" s="40"/>
      <c r="F371" s="40"/>
      <c r="G371" s="40" t="s">
        <v>12</v>
      </c>
      <c r="H371" s="40" t="s">
        <v>211</v>
      </c>
      <c r="I371" s="40"/>
      <c r="J371" s="40" t="s">
        <v>510</v>
      </c>
      <c r="K371" s="2" t="s">
        <v>546</v>
      </c>
      <c r="L371" s="2"/>
    </row>
    <row r="372" spans="1:12" x14ac:dyDescent="0.2">
      <c r="A372" s="13">
        <v>361</v>
      </c>
      <c r="B372" s="42" t="s">
        <v>530</v>
      </c>
      <c r="C372" s="40" t="s">
        <v>18</v>
      </c>
      <c r="D372" s="41">
        <v>46167</v>
      </c>
      <c r="E372" s="40"/>
      <c r="F372" s="40"/>
      <c r="G372" s="40" t="s">
        <v>20</v>
      </c>
      <c r="H372" s="40" t="s">
        <v>194</v>
      </c>
      <c r="I372" s="40"/>
      <c r="J372" s="40" t="s">
        <v>510</v>
      </c>
      <c r="K372" s="2" t="s">
        <v>546</v>
      </c>
      <c r="L372" s="2"/>
    </row>
    <row r="373" spans="1:12" x14ac:dyDescent="0.2">
      <c r="A373" s="13">
        <v>362</v>
      </c>
      <c r="B373" s="42" t="s">
        <v>531</v>
      </c>
      <c r="C373" s="40" t="s">
        <v>18</v>
      </c>
      <c r="D373" s="41">
        <v>46185</v>
      </c>
      <c r="E373" s="40"/>
      <c r="F373" s="40"/>
      <c r="G373" s="40" t="s">
        <v>532</v>
      </c>
      <c r="H373" s="40" t="s">
        <v>301</v>
      </c>
      <c r="I373" s="40"/>
      <c r="J373" s="40" t="s">
        <v>533</v>
      </c>
    </row>
    <row r="374" spans="1:12" x14ac:dyDescent="0.2">
      <c r="A374" s="13">
        <v>363</v>
      </c>
      <c r="B374" s="42" t="s">
        <v>534</v>
      </c>
      <c r="C374" s="40" t="s">
        <v>18</v>
      </c>
      <c r="D374" s="41">
        <v>46192</v>
      </c>
      <c r="E374" s="40"/>
      <c r="F374" s="40"/>
      <c r="G374" s="40" t="s">
        <v>20</v>
      </c>
      <c r="H374" s="40" t="s">
        <v>535</v>
      </c>
      <c r="I374" s="40"/>
      <c r="J374" s="40" t="s">
        <v>533</v>
      </c>
    </row>
    <row r="375" spans="1:12" x14ac:dyDescent="0.2">
      <c r="A375" s="13">
        <v>364</v>
      </c>
      <c r="B375" s="22" t="s">
        <v>536</v>
      </c>
      <c r="C375" s="13" t="s">
        <v>18</v>
      </c>
      <c r="D375" s="23">
        <v>46206</v>
      </c>
      <c r="E375" s="13"/>
      <c r="F375" s="13"/>
      <c r="G375" s="13" t="s">
        <v>537</v>
      </c>
      <c r="H375" s="13" t="s">
        <v>74</v>
      </c>
      <c r="I375" s="13"/>
      <c r="J375" s="40" t="s">
        <v>533</v>
      </c>
    </row>
    <row r="376" spans="1:12" x14ac:dyDescent="0.2">
      <c r="A376" s="13">
        <v>365</v>
      </c>
      <c r="B376" s="22" t="s">
        <v>538</v>
      </c>
      <c r="C376" s="13" t="s">
        <v>18</v>
      </c>
      <c r="D376" s="23">
        <v>46218</v>
      </c>
      <c r="E376" s="13"/>
      <c r="F376" s="13"/>
      <c r="G376" s="13" t="s">
        <v>20</v>
      </c>
      <c r="H376" s="13" t="s">
        <v>141</v>
      </c>
      <c r="I376" s="13"/>
      <c r="J376" s="40" t="s">
        <v>533</v>
      </c>
    </row>
    <row r="377" spans="1:12" x14ac:dyDescent="0.2">
      <c r="A377" s="13">
        <v>366</v>
      </c>
      <c r="B377" s="22" t="s">
        <v>539</v>
      </c>
      <c r="C377" s="13" t="s">
        <v>18</v>
      </c>
      <c r="D377" s="23">
        <v>46220</v>
      </c>
      <c r="E377" s="13"/>
      <c r="F377" s="13"/>
      <c r="G377" s="13" t="s">
        <v>12</v>
      </c>
      <c r="H377" s="13" t="s">
        <v>170</v>
      </c>
      <c r="I377" s="13"/>
      <c r="J377" s="40" t="s">
        <v>533</v>
      </c>
    </row>
    <row r="378" spans="1:12" x14ac:dyDescent="0.2">
      <c r="A378" s="13">
        <v>367</v>
      </c>
      <c r="B378" s="22" t="s">
        <v>540</v>
      </c>
      <c r="C378" s="13" t="s">
        <v>18</v>
      </c>
      <c r="D378" s="23">
        <v>46225</v>
      </c>
      <c r="E378" s="13"/>
      <c r="F378" s="13"/>
      <c r="G378" s="13" t="s">
        <v>541</v>
      </c>
      <c r="H378" s="13">
        <v>544</v>
      </c>
      <c r="I378" s="13"/>
      <c r="J378" s="40" t="s">
        <v>533</v>
      </c>
    </row>
    <row r="379" spans="1:12" x14ac:dyDescent="0.2">
      <c r="A379" s="13">
        <v>368</v>
      </c>
      <c r="B379" s="22" t="s">
        <v>16</v>
      </c>
      <c r="C379" s="13" t="s">
        <v>18</v>
      </c>
      <c r="D379" s="23">
        <v>46236</v>
      </c>
      <c r="E379" s="13"/>
      <c r="F379" s="13"/>
      <c r="G379" s="13" t="s">
        <v>12</v>
      </c>
      <c r="H379" s="13" t="s">
        <v>11</v>
      </c>
      <c r="I379" s="13"/>
      <c r="J379" s="13" t="s">
        <v>542</v>
      </c>
    </row>
    <row r="380" spans="1:12" x14ac:dyDescent="0.2">
      <c r="A380" s="13">
        <v>369</v>
      </c>
      <c r="B380" s="22" t="s">
        <v>23</v>
      </c>
      <c r="C380" s="13" t="s">
        <v>18</v>
      </c>
      <c r="D380" s="23">
        <v>46243</v>
      </c>
      <c r="E380" s="13"/>
      <c r="F380" s="13"/>
      <c r="G380" s="13" t="s">
        <v>12</v>
      </c>
      <c r="H380" s="13" t="s">
        <v>22</v>
      </c>
      <c r="I380" s="13"/>
      <c r="J380" s="13" t="s">
        <v>542</v>
      </c>
    </row>
    <row r="381" spans="1:12" x14ac:dyDescent="0.2">
      <c r="A381" s="13">
        <v>370</v>
      </c>
      <c r="B381" s="22" t="s">
        <v>26</v>
      </c>
      <c r="C381" s="13" t="s">
        <v>18</v>
      </c>
      <c r="D381" s="23">
        <v>46243</v>
      </c>
      <c r="E381" s="13"/>
      <c r="F381" s="13"/>
      <c r="G381" s="13" t="s">
        <v>25</v>
      </c>
      <c r="H381" s="13" t="s">
        <v>24</v>
      </c>
      <c r="I381" s="13"/>
      <c r="J381" s="13" t="s">
        <v>542</v>
      </c>
    </row>
    <row r="382" spans="1:12" x14ac:dyDescent="0.2">
      <c r="A382" s="13">
        <v>371</v>
      </c>
      <c r="B382" s="22" t="s">
        <v>28</v>
      </c>
      <c r="C382" s="13" t="s">
        <v>18</v>
      </c>
      <c r="D382" s="23">
        <v>46246</v>
      </c>
      <c r="E382" s="13"/>
      <c r="F382" s="13"/>
      <c r="G382" s="13" t="s">
        <v>20</v>
      </c>
      <c r="H382" s="13" t="s">
        <v>27</v>
      </c>
      <c r="I382" s="13"/>
      <c r="J382" s="13" t="s">
        <v>542</v>
      </c>
    </row>
    <row r="383" spans="1:12" x14ac:dyDescent="0.2">
      <c r="A383" s="13">
        <v>372</v>
      </c>
      <c r="B383" s="22" t="s">
        <v>30</v>
      </c>
      <c r="C383" s="13" t="s">
        <v>18</v>
      </c>
      <c r="D383" s="23">
        <v>46246</v>
      </c>
      <c r="E383" s="13"/>
      <c r="F383" s="13"/>
      <c r="G383" s="13" t="s">
        <v>25</v>
      </c>
      <c r="H383" s="13" t="s">
        <v>29</v>
      </c>
      <c r="I383" s="13"/>
      <c r="J383" s="13" t="s">
        <v>542</v>
      </c>
    </row>
    <row r="384" spans="1:12" x14ac:dyDescent="0.2">
      <c r="A384" s="13">
        <v>373</v>
      </c>
      <c r="B384" s="22" t="s">
        <v>34</v>
      </c>
      <c r="C384" s="13" t="s">
        <v>18</v>
      </c>
      <c r="D384" s="23">
        <v>46248</v>
      </c>
      <c r="E384" s="13"/>
      <c r="F384" s="13"/>
      <c r="G384" s="13" t="s">
        <v>25</v>
      </c>
      <c r="H384" s="13" t="s">
        <v>32</v>
      </c>
      <c r="I384" s="13"/>
      <c r="J384" s="13" t="s">
        <v>542</v>
      </c>
    </row>
    <row r="385" spans="1:10" x14ac:dyDescent="0.2">
      <c r="A385" s="13">
        <v>374</v>
      </c>
      <c r="B385" s="22" t="s">
        <v>36</v>
      </c>
      <c r="C385" s="13" t="s">
        <v>18</v>
      </c>
      <c r="D385" s="23">
        <v>46250</v>
      </c>
      <c r="E385" s="13"/>
      <c r="F385" s="13"/>
      <c r="G385" s="13" t="s">
        <v>25</v>
      </c>
      <c r="H385" s="13" t="s">
        <v>35</v>
      </c>
      <c r="I385" s="13"/>
      <c r="J385" s="13" t="s">
        <v>542</v>
      </c>
    </row>
    <row r="386" spans="1:10" x14ac:dyDescent="0.2">
      <c r="A386" s="13">
        <v>375</v>
      </c>
      <c r="B386" s="22" t="s">
        <v>40</v>
      </c>
      <c r="C386" s="13" t="s">
        <v>18</v>
      </c>
      <c r="D386" s="23">
        <v>46253</v>
      </c>
      <c r="E386" s="13"/>
      <c r="F386" s="13"/>
      <c r="G386" s="13" t="s">
        <v>25</v>
      </c>
      <c r="H386" s="13" t="s">
        <v>39</v>
      </c>
      <c r="I386" s="13"/>
      <c r="J386" s="13" t="s">
        <v>542</v>
      </c>
    </row>
    <row r="387" spans="1:10" x14ac:dyDescent="0.2">
      <c r="A387" s="13">
        <v>376</v>
      </c>
      <c r="B387" s="22" t="s">
        <v>43</v>
      </c>
      <c r="C387" s="13" t="s">
        <v>18</v>
      </c>
      <c r="D387" s="23">
        <v>46259</v>
      </c>
      <c r="E387" s="13"/>
      <c r="F387" s="13"/>
      <c r="G387" s="13" t="s">
        <v>25</v>
      </c>
      <c r="H387" s="13" t="s">
        <v>42</v>
      </c>
      <c r="I387" s="13"/>
      <c r="J387" s="13" t="s">
        <v>542</v>
      </c>
    </row>
    <row r="388" spans="1:10" x14ac:dyDescent="0.2">
      <c r="A388" s="13">
        <v>377</v>
      </c>
      <c r="B388" s="22" t="s">
        <v>47</v>
      </c>
      <c r="C388" s="13" t="s">
        <v>18</v>
      </c>
      <c r="D388" s="23">
        <v>46262</v>
      </c>
      <c r="E388" s="13"/>
      <c r="F388" s="13"/>
      <c r="G388" s="13" t="s">
        <v>25</v>
      </c>
      <c r="H388" s="13" t="s">
        <v>46</v>
      </c>
      <c r="I388" s="13"/>
      <c r="J388" s="13" t="s">
        <v>542</v>
      </c>
    </row>
  </sheetData>
  <mergeCells count="32">
    <mergeCell ref="K1:L1"/>
    <mergeCell ref="K2:K3"/>
    <mergeCell ref="L2:L3"/>
    <mergeCell ref="A1:J1"/>
    <mergeCell ref="S2:S3"/>
    <mergeCell ref="T2:T3"/>
    <mergeCell ref="U1:AE1"/>
    <mergeCell ref="N2:N3"/>
    <mergeCell ref="O2:O3"/>
    <mergeCell ref="P2:P3"/>
    <mergeCell ref="Q2:Q3"/>
    <mergeCell ref="R2:R3"/>
    <mergeCell ref="N1:T1"/>
    <mergeCell ref="U2:U3"/>
    <mergeCell ref="V2:V3"/>
    <mergeCell ref="W2:W3"/>
    <mergeCell ref="X2:X3"/>
    <mergeCell ref="AE2:AE3"/>
    <mergeCell ref="Y2:Y3"/>
    <mergeCell ref="Z2:Z3"/>
    <mergeCell ref="AA2:AA3"/>
    <mergeCell ref="AB2:AB3"/>
    <mergeCell ref="AL1:AN1"/>
    <mergeCell ref="AL2:AL3"/>
    <mergeCell ref="AM2:AM3"/>
    <mergeCell ref="AN2:AN3"/>
    <mergeCell ref="AC2:AC3"/>
    <mergeCell ref="AD2:AD3"/>
    <mergeCell ref="AF1:AK1"/>
    <mergeCell ref="AF2:AF3"/>
    <mergeCell ref="AG2:AJ2"/>
    <mergeCell ref="AK2:A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2007-EC68-A649-B071-B643C1855E09}">
  <dimension ref="A1:AB385"/>
  <sheetViews>
    <sheetView topLeftCell="H1" workbookViewId="0">
      <selection activeCell="J2" sqref="J2"/>
    </sheetView>
  </sheetViews>
  <sheetFormatPr baseColWidth="10" defaultColWidth="8.83203125" defaultRowHeight="16" x14ac:dyDescent="0.2"/>
  <cols>
    <col min="1" max="1" width="4.33203125" style="44" customWidth="1"/>
    <col min="2" max="2" width="6.1640625" style="44" bestFit="1" customWidth="1"/>
    <col min="3" max="3" width="6.6640625" style="44" customWidth="1"/>
    <col min="4" max="4" width="10.83203125" style="44" bestFit="1" customWidth="1"/>
    <col min="5" max="5" width="22.1640625" style="44" bestFit="1" customWidth="1"/>
    <col min="6" max="6" width="8.33203125" style="44" bestFit="1" customWidth="1"/>
    <col min="7" max="8" width="7" style="44" customWidth="1"/>
    <col min="9" max="9" width="10" style="44" bestFit="1" customWidth="1"/>
    <col min="10" max="10" width="31.83203125" style="44" bestFit="1" customWidth="1"/>
    <col min="11" max="11" width="7.83203125" style="44" bestFit="1" customWidth="1"/>
    <col min="12" max="12" width="7.83203125" style="44" customWidth="1"/>
    <col min="13" max="13" width="23.5" bestFit="1" customWidth="1"/>
    <col min="14" max="14" width="10.6640625" bestFit="1" customWidth="1"/>
    <col min="15" max="15" width="9.5" bestFit="1" customWidth="1"/>
    <col min="16" max="16" width="10.83203125" bestFit="1" customWidth="1"/>
    <col min="17" max="17" width="7.6640625" bestFit="1" customWidth="1"/>
    <col min="18" max="18" width="10.33203125" bestFit="1" customWidth="1"/>
    <col min="19" max="19" width="8.83203125" bestFit="1" customWidth="1"/>
    <col min="20" max="20" width="6.6640625" bestFit="1" customWidth="1"/>
    <col min="21" max="21" width="8.5" bestFit="1" customWidth="1"/>
    <col min="22" max="22" width="8.6640625" bestFit="1" customWidth="1"/>
    <col min="23" max="23" width="10.83203125" bestFit="1" customWidth="1"/>
    <col min="24" max="24" width="12.33203125" bestFit="1" customWidth="1"/>
    <col min="25" max="25" width="8.33203125" bestFit="1" customWidth="1"/>
    <col min="26" max="26" width="13.6640625" bestFit="1" customWidth="1"/>
    <col min="27" max="27" width="11.83203125" bestFit="1" customWidth="1"/>
    <col min="36" max="41" width="11.1640625" customWidth="1"/>
  </cols>
  <sheetData>
    <row r="1" spans="1:28" s="72" customFormat="1" ht="81" customHeight="1" x14ac:dyDescent="0.2">
      <c r="A1" s="73" t="s">
        <v>590</v>
      </c>
      <c r="B1" s="73" t="s">
        <v>591</v>
      </c>
      <c r="C1" s="73" t="s">
        <v>53</v>
      </c>
      <c r="D1" s="73" t="s">
        <v>54</v>
      </c>
      <c r="E1" s="73" t="s">
        <v>609</v>
      </c>
      <c r="F1" s="73" t="s">
        <v>595</v>
      </c>
      <c r="G1" s="73" t="s">
        <v>56</v>
      </c>
      <c r="H1" s="73" t="s">
        <v>57</v>
      </c>
      <c r="I1" s="73" t="s">
        <v>58</v>
      </c>
      <c r="J1" s="73" t="s">
        <v>596</v>
      </c>
      <c r="K1" s="73" t="s">
        <v>584</v>
      </c>
      <c r="L1" s="73" t="s">
        <v>611</v>
      </c>
      <c r="M1" s="73" t="s">
        <v>592</v>
      </c>
      <c r="N1" s="73" t="s">
        <v>593</v>
      </c>
      <c r="O1" s="73" t="s">
        <v>594</v>
      </c>
      <c r="P1" s="74" t="s">
        <v>597</v>
      </c>
      <c r="Q1" s="74" t="s">
        <v>598</v>
      </c>
      <c r="R1" s="74" t="s">
        <v>610</v>
      </c>
      <c r="S1" s="74" t="s">
        <v>601</v>
      </c>
      <c r="T1" s="74" t="s">
        <v>599</v>
      </c>
      <c r="U1" s="74" t="s">
        <v>600</v>
      </c>
      <c r="V1" s="74" t="s">
        <v>602</v>
      </c>
      <c r="W1" s="74" t="s">
        <v>606</v>
      </c>
      <c r="X1" s="74" t="s">
        <v>605</v>
      </c>
      <c r="Y1" s="74" t="s">
        <v>603</v>
      </c>
      <c r="Z1" s="74" t="s">
        <v>604</v>
      </c>
      <c r="AA1" s="74" t="s">
        <v>607</v>
      </c>
      <c r="AB1" s="74" t="s">
        <v>608</v>
      </c>
    </row>
    <row r="2" spans="1:28" x14ac:dyDescent="0.2">
      <c r="A2" s="75">
        <v>1</v>
      </c>
      <c r="B2" s="14">
        <v>243</v>
      </c>
      <c r="C2" s="7" t="s">
        <v>61</v>
      </c>
      <c r="D2" s="24"/>
      <c r="E2" s="75"/>
      <c r="F2" s="75"/>
      <c r="G2" s="75"/>
      <c r="H2" s="75"/>
      <c r="I2" s="75"/>
      <c r="J2" s="75"/>
      <c r="K2" s="75"/>
      <c r="L2" s="75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</row>
    <row r="3" spans="1:28" x14ac:dyDescent="0.2">
      <c r="A3" s="75">
        <v>2</v>
      </c>
      <c r="B3" s="14">
        <v>251</v>
      </c>
      <c r="C3" s="7" t="s">
        <v>61</v>
      </c>
      <c r="D3" s="15"/>
      <c r="E3" s="75"/>
      <c r="F3" s="16">
        <v>8</v>
      </c>
      <c r="G3" s="75"/>
      <c r="H3" s="75"/>
      <c r="I3" s="75"/>
      <c r="J3" s="75"/>
      <c r="K3" s="75"/>
      <c r="L3" s="75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</row>
    <row r="4" spans="1:28" x14ac:dyDescent="0.2">
      <c r="A4" s="75">
        <v>3</v>
      </c>
      <c r="B4" s="14">
        <v>509</v>
      </c>
      <c r="C4" s="7" t="s">
        <v>63</v>
      </c>
      <c r="D4" s="15"/>
      <c r="E4" s="75"/>
      <c r="F4" s="16">
        <v>7</v>
      </c>
      <c r="G4" s="75"/>
      <c r="H4" s="75"/>
      <c r="I4" s="75"/>
      <c r="J4" s="75"/>
      <c r="K4" s="75"/>
      <c r="L4" s="75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</row>
    <row r="5" spans="1:28" x14ac:dyDescent="0.2">
      <c r="A5" s="75">
        <v>4</v>
      </c>
      <c r="B5" s="14">
        <v>534</v>
      </c>
      <c r="C5" s="7" t="s">
        <v>61</v>
      </c>
      <c r="D5" s="15"/>
      <c r="E5" s="75"/>
      <c r="F5" s="16">
        <v>6</v>
      </c>
      <c r="G5" s="75"/>
      <c r="H5" s="75"/>
      <c r="I5" s="75"/>
      <c r="J5" s="75"/>
      <c r="K5" s="75"/>
      <c r="L5" s="75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 spans="1:28" x14ac:dyDescent="0.2">
      <c r="A6" s="75">
        <v>5</v>
      </c>
      <c r="B6" s="14">
        <v>536</v>
      </c>
      <c r="C6" s="20" t="s">
        <v>63</v>
      </c>
      <c r="D6" s="15"/>
      <c r="E6" s="75"/>
      <c r="F6" s="16">
        <v>7</v>
      </c>
      <c r="G6" s="75"/>
      <c r="H6" s="75"/>
      <c r="I6" s="75"/>
      <c r="J6" s="75"/>
      <c r="K6" s="75"/>
      <c r="L6" s="75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</row>
    <row r="7" spans="1:28" x14ac:dyDescent="0.2">
      <c r="A7" s="75">
        <v>6</v>
      </c>
      <c r="B7" s="14">
        <v>544</v>
      </c>
      <c r="C7" s="7" t="s">
        <v>63</v>
      </c>
      <c r="D7" s="15"/>
      <c r="E7" s="75"/>
      <c r="F7" s="16">
        <v>7</v>
      </c>
      <c r="G7" s="75"/>
      <c r="H7" s="75"/>
      <c r="I7" s="75"/>
      <c r="J7" s="75"/>
      <c r="K7" s="75"/>
      <c r="L7" s="75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</row>
    <row r="8" spans="1:28" x14ac:dyDescent="0.2">
      <c r="A8" s="75">
        <v>7</v>
      </c>
      <c r="B8" s="14">
        <v>567</v>
      </c>
      <c r="C8" s="7" t="s">
        <v>61</v>
      </c>
      <c r="D8" s="15"/>
      <c r="E8" s="75"/>
      <c r="F8" s="16">
        <v>6</v>
      </c>
      <c r="G8" s="75"/>
      <c r="H8" s="75"/>
      <c r="I8" s="75"/>
      <c r="J8" s="75"/>
      <c r="K8" s="75"/>
      <c r="L8" s="75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</row>
    <row r="9" spans="1:28" x14ac:dyDescent="0.2">
      <c r="A9" s="75">
        <v>8</v>
      </c>
      <c r="B9" s="14">
        <v>573</v>
      </c>
      <c r="C9" s="20" t="s">
        <v>61</v>
      </c>
      <c r="D9" s="15"/>
      <c r="E9" s="75"/>
      <c r="F9" s="16">
        <v>5</v>
      </c>
      <c r="G9" s="75"/>
      <c r="H9" s="75"/>
      <c r="I9" s="75"/>
      <c r="J9" s="75"/>
      <c r="K9" s="75"/>
      <c r="L9" s="75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</row>
    <row r="10" spans="1:28" x14ac:dyDescent="0.2">
      <c r="A10" s="75">
        <v>9</v>
      </c>
      <c r="B10" s="14">
        <v>584</v>
      </c>
      <c r="C10" s="7" t="s">
        <v>61</v>
      </c>
      <c r="D10" s="15"/>
      <c r="E10" s="75"/>
      <c r="F10" s="16">
        <v>5</v>
      </c>
      <c r="G10" s="75"/>
      <c r="H10" s="75"/>
      <c r="I10" s="75"/>
      <c r="J10" s="75"/>
      <c r="K10" s="75"/>
      <c r="L10" s="75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</row>
    <row r="11" spans="1:28" x14ac:dyDescent="0.2">
      <c r="A11" s="75">
        <v>10</v>
      </c>
      <c r="B11" s="14">
        <v>607</v>
      </c>
      <c r="C11" s="20" t="s">
        <v>63</v>
      </c>
      <c r="D11" s="15"/>
      <c r="E11" s="75"/>
      <c r="F11" s="16">
        <v>4</v>
      </c>
      <c r="G11" s="75"/>
      <c r="H11" s="75"/>
      <c r="I11" s="75"/>
      <c r="J11" s="75"/>
      <c r="K11" s="75"/>
      <c r="L11" s="75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</row>
    <row r="12" spans="1:28" x14ac:dyDescent="0.2">
      <c r="A12" s="75">
        <v>11</v>
      </c>
      <c r="B12" s="14">
        <v>611</v>
      </c>
      <c r="C12" s="20" t="s">
        <v>61</v>
      </c>
      <c r="D12" s="15"/>
      <c r="E12" s="75"/>
      <c r="F12" s="16">
        <v>5</v>
      </c>
      <c r="G12" s="75"/>
      <c r="H12" s="75"/>
      <c r="I12" s="75"/>
      <c r="J12" s="75"/>
      <c r="K12" s="75"/>
      <c r="L12" s="75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</row>
    <row r="13" spans="1:28" x14ac:dyDescent="0.2">
      <c r="A13" s="75">
        <v>12</v>
      </c>
      <c r="B13" s="22">
        <v>704</v>
      </c>
      <c r="C13" s="13" t="s">
        <v>61</v>
      </c>
      <c r="D13" s="13"/>
      <c r="E13" s="75"/>
      <c r="F13" s="13">
        <v>2</v>
      </c>
      <c r="G13" s="75"/>
      <c r="H13" s="75"/>
      <c r="I13" s="75"/>
      <c r="J13" s="75"/>
      <c r="K13" s="75"/>
      <c r="L13" s="75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</row>
    <row r="14" spans="1:28" x14ac:dyDescent="0.2">
      <c r="A14" s="75">
        <v>13</v>
      </c>
      <c r="B14" s="22">
        <v>714</v>
      </c>
      <c r="C14" s="16" t="s">
        <v>61</v>
      </c>
      <c r="D14" s="16"/>
      <c r="E14" s="75"/>
      <c r="F14" s="16">
        <v>3</v>
      </c>
      <c r="G14" s="75"/>
      <c r="H14" s="75"/>
      <c r="I14" s="75"/>
      <c r="J14" s="75"/>
      <c r="K14" s="75"/>
      <c r="L14" s="75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</row>
    <row r="15" spans="1:28" x14ac:dyDescent="0.2">
      <c r="A15" s="75">
        <v>14</v>
      </c>
      <c r="B15" s="3" t="s">
        <v>48</v>
      </c>
      <c r="C15" s="7" t="s">
        <v>61</v>
      </c>
      <c r="D15" s="24"/>
      <c r="E15" s="75"/>
      <c r="F15" s="25">
        <v>6</v>
      </c>
      <c r="G15" s="75"/>
      <c r="H15" s="75"/>
      <c r="I15" s="75"/>
      <c r="J15" s="75"/>
      <c r="K15" s="75"/>
      <c r="L15" s="75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</row>
    <row r="16" spans="1:28" x14ac:dyDescent="0.2">
      <c r="A16" s="75">
        <v>15</v>
      </c>
      <c r="B16" s="3" t="s">
        <v>65</v>
      </c>
      <c r="C16" s="7" t="s">
        <v>61</v>
      </c>
      <c r="D16" s="19">
        <v>43084</v>
      </c>
      <c r="E16" s="75"/>
      <c r="F16" s="20">
        <v>6</v>
      </c>
      <c r="G16" s="75"/>
      <c r="H16" s="75"/>
      <c r="I16" s="75"/>
      <c r="J16" s="75"/>
      <c r="K16" s="75"/>
      <c r="L16" s="75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</row>
    <row r="17" spans="1:28" x14ac:dyDescent="0.2">
      <c r="A17" s="75">
        <v>16</v>
      </c>
      <c r="B17" s="3" t="s">
        <v>66</v>
      </c>
      <c r="C17" s="7" t="s">
        <v>61</v>
      </c>
      <c r="D17" s="19">
        <v>43156</v>
      </c>
      <c r="E17" s="75"/>
      <c r="F17" s="20">
        <v>5</v>
      </c>
      <c r="G17" s="75"/>
      <c r="H17" s="75"/>
      <c r="I17" s="75"/>
      <c r="J17" s="75"/>
      <c r="K17" s="75"/>
      <c r="L17" s="75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</row>
    <row r="18" spans="1:28" x14ac:dyDescent="0.2">
      <c r="A18" s="75">
        <v>17</v>
      </c>
      <c r="B18" s="3" t="s">
        <v>67</v>
      </c>
      <c r="C18" s="7" t="s">
        <v>61</v>
      </c>
      <c r="D18" s="27">
        <v>43214</v>
      </c>
      <c r="E18" s="75"/>
      <c r="F18" s="28">
        <v>3</v>
      </c>
      <c r="G18" s="75"/>
      <c r="H18" s="75"/>
      <c r="I18" s="75"/>
      <c r="J18" s="75"/>
      <c r="K18" s="75"/>
      <c r="L18" s="75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</row>
    <row r="19" spans="1:28" x14ac:dyDescent="0.2">
      <c r="A19" s="75">
        <v>18</v>
      </c>
      <c r="B19" s="22" t="s">
        <v>69</v>
      </c>
      <c r="C19" s="13" t="s">
        <v>63</v>
      </c>
      <c r="D19" s="23">
        <v>43286</v>
      </c>
      <c r="E19" s="75"/>
      <c r="F19" s="13">
        <v>6</v>
      </c>
      <c r="G19" s="75"/>
      <c r="H19" s="75"/>
      <c r="I19" s="75"/>
      <c r="J19" s="75"/>
      <c r="K19" s="75"/>
      <c r="L19" s="75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</row>
    <row r="20" spans="1:28" x14ac:dyDescent="0.2">
      <c r="A20" s="75">
        <v>19</v>
      </c>
      <c r="B20" s="22" t="s">
        <v>71</v>
      </c>
      <c r="C20" s="13" t="s">
        <v>61</v>
      </c>
      <c r="D20" s="23">
        <v>43320</v>
      </c>
      <c r="E20" s="75"/>
      <c r="F20" s="13">
        <v>5</v>
      </c>
      <c r="G20" s="75"/>
      <c r="H20" s="75"/>
      <c r="I20" s="75"/>
      <c r="J20" s="75"/>
      <c r="K20" s="75"/>
      <c r="L20" s="75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</row>
    <row r="21" spans="1:28" x14ac:dyDescent="0.2">
      <c r="A21" s="75">
        <v>20</v>
      </c>
      <c r="B21" s="22" t="s">
        <v>72</v>
      </c>
      <c r="C21" s="13" t="s">
        <v>73</v>
      </c>
      <c r="D21" s="23">
        <v>43330</v>
      </c>
      <c r="E21" s="75"/>
      <c r="F21" s="13">
        <v>5</v>
      </c>
      <c r="G21" s="75"/>
      <c r="H21" s="75"/>
      <c r="I21" s="75"/>
      <c r="J21" s="75"/>
      <c r="K21" s="75"/>
      <c r="L21" s="75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</row>
    <row r="22" spans="1:28" x14ac:dyDescent="0.2">
      <c r="A22" s="75">
        <v>21</v>
      </c>
      <c r="B22" s="22" t="s">
        <v>74</v>
      </c>
      <c r="C22" s="13" t="s">
        <v>73</v>
      </c>
      <c r="D22" s="23">
        <v>43338</v>
      </c>
      <c r="E22" s="75"/>
      <c r="F22" s="13">
        <v>6</v>
      </c>
      <c r="G22" s="75"/>
      <c r="H22" s="75"/>
      <c r="I22" s="75"/>
      <c r="J22" s="75"/>
      <c r="K22" s="75"/>
      <c r="L22" s="75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</row>
    <row r="23" spans="1:28" x14ac:dyDescent="0.2">
      <c r="A23" s="75">
        <v>22</v>
      </c>
      <c r="B23" s="22" t="s">
        <v>76</v>
      </c>
      <c r="C23" s="13" t="s">
        <v>73</v>
      </c>
      <c r="D23" s="23">
        <v>43338</v>
      </c>
      <c r="E23" s="75"/>
      <c r="F23" s="13">
        <v>5</v>
      </c>
      <c r="G23" s="75"/>
      <c r="H23" s="75"/>
      <c r="I23" s="75"/>
      <c r="J23" s="75"/>
      <c r="K23" s="75"/>
      <c r="L23" s="75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</row>
    <row r="24" spans="1:28" x14ac:dyDescent="0.2">
      <c r="A24" s="75">
        <v>23</v>
      </c>
      <c r="B24" s="22" t="s">
        <v>77</v>
      </c>
      <c r="C24" s="13" t="s">
        <v>18</v>
      </c>
      <c r="D24" s="23">
        <v>43339</v>
      </c>
      <c r="E24" s="75"/>
      <c r="F24" s="13">
        <v>4</v>
      </c>
      <c r="G24" s="75"/>
      <c r="H24" s="75"/>
      <c r="I24" s="75"/>
      <c r="J24" s="75"/>
      <c r="K24" s="75"/>
      <c r="L24" s="75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</row>
    <row r="25" spans="1:28" x14ac:dyDescent="0.2">
      <c r="A25" s="75">
        <v>24</v>
      </c>
      <c r="B25" s="22" t="s">
        <v>78</v>
      </c>
      <c r="C25" s="13" t="s">
        <v>18</v>
      </c>
      <c r="D25" s="23">
        <v>43349</v>
      </c>
      <c r="E25" s="75"/>
      <c r="F25" s="13">
        <v>4</v>
      </c>
      <c r="G25" s="75"/>
      <c r="H25" s="75"/>
      <c r="I25" s="75"/>
      <c r="J25" s="75"/>
      <c r="K25" s="75"/>
      <c r="L25" s="75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</row>
    <row r="26" spans="1:28" x14ac:dyDescent="0.2">
      <c r="A26" s="75">
        <v>25</v>
      </c>
      <c r="B26" s="22" t="s">
        <v>79</v>
      </c>
      <c r="C26" s="13" t="s">
        <v>18</v>
      </c>
      <c r="D26" s="23">
        <v>43356</v>
      </c>
      <c r="E26" s="75"/>
      <c r="F26" s="13">
        <v>4</v>
      </c>
      <c r="G26" s="75"/>
      <c r="H26" s="75"/>
      <c r="I26" s="75"/>
      <c r="J26" s="75"/>
      <c r="K26" s="75"/>
      <c r="L26" s="75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</row>
    <row r="27" spans="1:28" x14ac:dyDescent="0.2">
      <c r="A27" s="75">
        <v>26</v>
      </c>
      <c r="B27" s="22" t="s">
        <v>80</v>
      </c>
      <c r="C27" s="16" t="s">
        <v>18</v>
      </c>
      <c r="D27" s="31">
        <v>43365</v>
      </c>
      <c r="E27" s="75"/>
      <c r="F27" s="16">
        <v>4</v>
      </c>
      <c r="G27" s="75"/>
      <c r="H27" s="75"/>
      <c r="I27" s="75"/>
      <c r="J27" s="75"/>
      <c r="K27" s="75"/>
      <c r="L27" s="75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</row>
    <row r="28" spans="1:28" x14ac:dyDescent="0.2">
      <c r="A28" s="75">
        <v>27</v>
      </c>
      <c r="B28" s="22" t="s">
        <v>290</v>
      </c>
      <c r="C28" s="16" t="s">
        <v>18</v>
      </c>
      <c r="D28" s="31">
        <v>43366</v>
      </c>
      <c r="E28" s="75"/>
      <c r="F28" s="16">
        <v>4</v>
      </c>
      <c r="G28" s="75"/>
      <c r="H28" s="75"/>
      <c r="I28" s="75"/>
      <c r="J28" s="75"/>
      <c r="K28" s="75"/>
      <c r="L28" s="75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</row>
    <row r="29" spans="1:28" x14ac:dyDescent="0.2">
      <c r="A29" s="75">
        <v>28</v>
      </c>
      <c r="B29" s="22" t="s">
        <v>81</v>
      </c>
      <c r="C29" s="16" t="s">
        <v>61</v>
      </c>
      <c r="D29" s="31">
        <v>43372</v>
      </c>
      <c r="E29" s="75"/>
      <c r="F29" s="16">
        <v>5</v>
      </c>
      <c r="G29" s="75"/>
      <c r="H29" s="75"/>
      <c r="I29" s="75"/>
      <c r="J29" s="75"/>
      <c r="K29" s="75"/>
      <c r="L29" s="75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</row>
    <row r="30" spans="1:28" x14ac:dyDescent="0.2">
      <c r="A30" s="75">
        <v>29</v>
      </c>
      <c r="B30" s="22" t="s">
        <v>83</v>
      </c>
      <c r="C30" s="13" t="s">
        <v>84</v>
      </c>
      <c r="D30" s="23">
        <v>43375</v>
      </c>
      <c r="E30" s="75"/>
      <c r="F30" s="13">
        <v>5</v>
      </c>
      <c r="G30" s="75"/>
      <c r="H30" s="75"/>
      <c r="I30" s="75"/>
      <c r="J30" s="75"/>
      <c r="K30" s="75"/>
      <c r="L30" s="75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</row>
    <row r="31" spans="1:28" x14ac:dyDescent="0.2">
      <c r="A31" s="75">
        <v>30</v>
      </c>
      <c r="B31" s="22" t="s">
        <v>86</v>
      </c>
      <c r="C31" s="13" t="s">
        <v>18</v>
      </c>
      <c r="D31" s="23">
        <v>43383</v>
      </c>
      <c r="E31" s="75"/>
      <c r="F31" s="13">
        <v>4</v>
      </c>
      <c r="G31" s="75"/>
      <c r="H31" s="75"/>
      <c r="I31" s="75"/>
      <c r="J31" s="75"/>
      <c r="K31" s="75"/>
      <c r="L31" s="75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</row>
    <row r="32" spans="1:28" x14ac:dyDescent="0.2">
      <c r="A32" s="75">
        <v>31</v>
      </c>
      <c r="B32" s="22" t="s">
        <v>88</v>
      </c>
      <c r="C32" s="13" t="s">
        <v>61</v>
      </c>
      <c r="D32" s="23">
        <v>43386</v>
      </c>
      <c r="E32" s="75"/>
      <c r="F32" s="13">
        <v>3</v>
      </c>
      <c r="G32" s="75"/>
      <c r="H32" s="75"/>
      <c r="I32" s="75"/>
      <c r="J32" s="75"/>
      <c r="K32" s="75"/>
      <c r="L32" s="75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</row>
    <row r="33" spans="1:28" x14ac:dyDescent="0.2">
      <c r="A33" s="75">
        <v>32</v>
      </c>
      <c r="B33" s="22" t="s">
        <v>90</v>
      </c>
      <c r="C33" s="16" t="s">
        <v>61</v>
      </c>
      <c r="D33" s="31">
        <v>43397</v>
      </c>
      <c r="E33" s="75"/>
      <c r="F33" s="16">
        <v>4</v>
      </c>
      <c r="G33" s="75"/>
      <c r="H33" s="75"/>
      <c r="I33" s="75"/>
      <c r="J33" s="75"/>
      <c r="K33" s="75"/>
      <c r="L33" s="75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</row>
    <row r="34" spans="1:28" x14ac:dyDescent="0.2">
      <c r="A34" s="75">
        <v>33</v>
      </c>
      <c r="B34" s="22" t="s">
        <v>35</v>
      </c>
      <c r="C34" s="16" t="s">
        <v>18</v>
      </c>
      <c r="D34" s="31">
        <v>43403</v>
      </c>
      <c r="E34" s="75"/>
      <c r="F34" s="16">
        <v>4</v>
      </c>
      <c r="G34" s="75"/>
      <c r="H34" s="75"/>
      <c r="I34" s="75"/>
      <c r="J34" s="75"/>
      <c r="K34" s="75"/>
      <c r="L34" s="75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</row>
    <row r="35" spans="1:28" x14ac:dyDescent="0.2">
      <c r="A35" s="75">
        <v>34</v>
      </c>
      <c r="B35" s="22" t="s">
        <v>93</v>
      </c>
      <c r="C35" s="16" t="s">
        <v>61</v>
      </c>
      <c r="D35" s="31">
        <v>43428</v>
      </c>
      <c r="E35" s="75"/>
      <c r="F35" s="16">
        <v>3</v>
      </c>
      <c r="G35" s="75"/>
      <c r="H35" s="75"/>
      <c r="I35" s="75"/>
      <c r="J35" s="75"/>
      <c r="K35" s="75"/>
      <c r="L35" s="75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</row>
    <row r="36" spans="1:28" x14ac:dyDescent="0.2">
      <c r="A36" s="75">
        <v>35</v>
      </c>
      <c r="B36" s="22" t="s">
        <v>95</v>
      </c>
      <c r="C36" s="16" t="s">
        <v>61</v>
      </c>
      <c r="D36" s="31">
        <v>43451</v>
      </c>
      <c r="E36" s="75"/>
      <c r="F36" s="16">
        <v>3</v>
      </c>
      <c r="G36" s="75"/>
      <c r="H36" s="75"/>
      <c r="I36" s="75"/>
      <c r="J36" s="75"/>
      <c r="K36" s="75"/>
      <c r="L36" s="75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</row>
    <row r="37" spans="1:28" x14ac:dyDescent="0.2">
      <c r="A37" s="75">
        <v>36</v>
      </c>
      <c r="B37" s="22" t="s">
        <v>97</v>
      </c>
      <c r="C37" s="16" t="s">
        <v>18</v>
      </c>
      <c r="D37" s="31">
        <v>43457</v>
      </c>
      <c r="E37" s="75"/>
      <c r="F37" s="16">
        <v>4</v>
      </c>
      <c r="G37" s="75"/>
      <c r="H37" s="75"/>
      <c r="I37" s="75"/>
      <c r="J37" s="75"/>
      <c r="K37" s="75"/>
      <c r="L37" s="75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</row>
    <row r="38" spans="1:28" x14ac:dyDescent="0.2">
      <c r="A38" s="75">
        <v>37</v>
      </c>
      <c r="B38" s="22" t="s">
        <v>99</v>
      </c>
      <c r="C38" s="13" t="s">
        <v>18</v>
      </c>
      <c r="D38" s="23">
        <v>43508</v>
      </c>
      <c r="E38" s="75"/>
      <c r="F38" s="13">
        <v>5</v>
      </c>
      <c r="G38" s="75"/>
      <c r="H38" s="75"/>
      <c r="I38" s="75"/>
      <c r="J38" s="75"/>
      <c r="K38" s="75"/>
      <c r="L38" s="75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</row>
    <row r="39" spans="1:28" x14ac:dyDescent="0.2">
      <c r="A39" s="75">
        <v>38</v>
      </c>
      <c r="B39" s="22" t="s">
        <v>101</v>
      </c>
      <c r="C39" s="13" t="s">
        <v>73</v>
      </c>
      <c r="D39" s="23">
        <v>43511</v>
      </c>
      <c r="E39" s="75"/>
      <c r="F39" s="13">
        <v>5</v>
      </c>
      <c r="G39" s="75"/>
      <c r="H39" s="75"/>
      <c r="I39" s="75"/>
      <c r="J39" s="75"/>
      <c r="K39" s="75"/>
      <c r="L39" s="75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</row>
    <row r="40" spans="1:28" x14ac:dyDescent="0.2">
      <c r="A40" s="75">
        <v>39</v>
      </c>
      <c r="B40" s="22" t="s">
        <v>102</v>
      </c>
      <c r="C40" s="13" t="s">
        <v>63</v>
      </c>
      <c r="D40" s="23">
        <v>43576</v>
      </c>
      <c r="E40" s="75"/>
      <c r="F40" s="13">
        <v>5</v>
      </c>
      <c r="G40" s="75"/>
      <c r="H40" s="75"/>
      <c r="I40" s="75"/>
      <c r="J40" s="75"/>
      <c r="K40" s="75"/>
      <c r="L40" s="75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</row>
    <row r="41" spans="1:28" x14ac:dyDescent="0.2">
      <c r="A41" s="75">
        <v>40</v>
      </c>
      <c r="B41" s="22" t="s">
        <v>29</v>
      </c>
      <c r="C41" s="13" t="s">
        <v>61</v>
      </c>
      <c r="D41" s="23">
        <v>43651</v>
      </c>
      <c r="E41" s="75"/>
      <c r="F41" s="13">
        <v>4</v>
      </c>
      <c r="G41" s="75"/>
      <c r="H41" s="75"/>
      <c r="I41" s="75"/>
      <c r="J41" s="75"/>
      <c r="K41" s="75"/>
      <c r="L41" s="75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</row>
    <row r="42" spans="1:28" x14ac:dyDescent="0.2">
      <c r="A42" s="75">
        <v>41</v>
      </c>
      <c r="B42" s="22" t="s">
        <v>105</v>
      </c>
      <c r="C42" s="13" t="s">
        <v>18</v>
      </c>
      <c r="D42" s="23">
        <v>43660</v>
      </c>
      <c r="E42" s="75"/>
      <c r="F42" s="13">
        <v>4</v>
      </c>
      <c r="G42" s="75"/>
      <c r="H42" s="75"/>
      <c r="I42" s="75"/>
      <c r="J42" s="75"/>
      <c r="K42" s="75"/>
      <c r="L42" s="75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</row>
    <row r="43" spans="1:28" x14ac:dyDescent="0.2">
      <c r="A43" s="75">
        <v>42</v>
      </c>
      <c r="B43" s="22" t="s">
        <v>107</v>
      </c>
      <c r="C43" s="13" t="s">
        <v>18</v>
      </c>
      <c r="D43" s="23">
        <v>43670</v>
      </c>
      <c r="E43" s="75"/>
      <c r="F43" s="13">
        <v>2</v>
      </c>
      <c r="G43" s="75"/>
      <c r="H43" s="75"/>
      <c r="I43" s="75"/>
      <c r="J43" s="75"/>
      <c r="K43" s="75"/>
      <c r="L43" s="75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</row>
    <row r="44" spans="1:28" x14ac:dyDescent="0.2">
      <c r="A44" s="75">
        <v>43</v>
      </c>
      <c r="B44" s="22" t="s">
        <v>108</v>
      </c>
      <c r="C44" s="13" t="s">
        <v>73</v>
      </c>
      <c r="D44" s="23">
        <v>43674</v>
      </c>
      <c r="E44" s="75"/>
      <c r="F44" s="13">
        <v>5</v>
      </c>
      <c r="G44" s="75"/>
      <c r="H44" s="75"/>
      <c r="I44" s="75"/>
      <c r="J44" s="75"/>
      <c r="K44" s="75"/>
      <c r="L44" s="75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</row>
    <row r="45" spans="1:28" x14ac:dyDescent="0.2">
      <c r="A45" s="75">
        <v>44</v>
      </c>
      <c r="B45" s="22" t="s">
        <v>109</v>
      </c>
      <c r="C45" s="13" t="s">
        <v>61</v>
      </c>
      <c r="D45" s="23">
        <v>43691</v>
      </c>
      <c r="E45" s="75"/>
      <c r="F45" s="13">
        <v>3</v>
      </c>
      <c r="G45" s="75"/>
      <c r="H45" s="75"/>
      <c r="I45" s="75"/>
      <c r="J45" s="75"/>
      <c r="K45" s="75"/>
      <c r="L45" s="75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</row>
    <row r="46" spans="1:28" x14ac:dyDescent="0.2">
      <c r="A46" s="75">
        <v>45</v>
      </c>
      <c r="B46" s="22" t="s">
        <v>110</v>
      </c>
      <c r="C46" s="13" t="s">
        <v>18</v>
      </c>
      <c r="D46" s="23">
        <v>43705</v>
      </c>
      <c r="E46" s="75"/>
      <c r="F46" s="13">
        <v>4</v>
      </c>
      <c r="G46" s="75"/>
      <c r="H46" s="75"/>
      <c r="I46" s="75"/>
      <c r="J46" s="75"/>
      <c r="K46" s="75"/>
      <c r="L46" s="75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</row>
    <row r="47" spans="1:28" x14ac:dyDescent="0.2">
      <c r="A47" s="75">
        <v>46</v>
      </c>
      <c r="B47" s="22" t="s">
        <v>112</v>
      </c>
      <c r="C47" s="13" t="s">
        <v>18</v>
      </c>
      <c r="D47" s="23">
        <v>43728</v>
      </c>
      <c r="E47" s="75"/>
      <c r="F47" s="13">
        <v>3</v>
      </c>
      <c r="G47" s="75"/>
      <c r="H47" s="75"/>
      <c r="I47" s="75"/>
      <c r="J47" s="75"/>
      <c r="K47" s="75"/>
      <c r="L47" s="75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</row>
    <row r="48" spans="1:28" x14ac:dyDescent="0.2">
      <c r="A48" s="75">
        <v>47</v>
      </c>
      <c r="B48" s="22" t="s">
        <v>113</v>
      </c>
      <c r="C48" s="13" t="s">
        <v>61</v>
      </c>
      <c r="D48" s="23">
        <v>43732</v>
      </c>
      <c r="E48" s="75"/>
      <c r="F48" s="13">
        <v>3</v>
      </c>
      <c r="G48" s="75"/>
      <c r="H48" s="75"/>
      <c r="I48" s="75"/>
      <c r="J48" s="75"/>
      <c r="K48" s="75"/>
      <c r="L48" s="75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</row>
    <row r="49" spans="1:28" x14ac:dyDescent="0.2">
      <c r="A49" s="75">
        <v>48</v>
      </c>
      <c r="B49" s="22" t="s">
        <v>115</v>
      </c>
      <c r="C49" s="13" t="s">
        <v>73</v>
      </c>
      <c r="D49" s="23">
        <v>43740</v>
      </c>
      <c r="E49" s="75"/>
      <c r="F49" s="13">
        <v>4</v>
      </c>
      <c r="G49" s="75"/>
      <c r="H49" s="75"/>
      <c r="I49" s="75"/>
      <c r="J49" s="75"/>
      <c r="K49" s="75"/>
      <c r="L49" s="75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</row>
    <row r="50" spans="1:28" x14ac:dyDescent="0.2">
      <c r="A50" s="75">
        <v>49</v>
      </c>
      <c r="B50" s="22" t="s">
        <v>117</v>
      </c>
      <c r="C50" s="13" t="s">
        <v>61</v>
      </c>
      <c r="D50" s="23">
        <v>43742</v>
      </c>
      <c r="E50" s="75"/>
      <c r="F50" s="13">
        <v>4</v>
      </c>
      <c r="G50" s="75"/>
      <c r="H50" s="75"/>
      <c r="I50" s="75"/>
      <c r="J50" s="75"/>
      <c r="K50" s="75"/>
      <c r="L50" s="75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</row>
    <row r="51" spans="1:28" x14ac:dyDescent="0.2">
      <c r="A51" s="75">
        <v>50</v>
      </c>
      <c r="B51" s="22" t="s">
        <v>118</v>
      </c>
      <c r="C51" s="13" t="s">
        <v>61</v>
      </c>
      <c r="D51" s="23">
        <v>43744</v>
      </c>
      <c r="E51" s="75"/>
      <c r="F51" s="13">
        <v>4</v>
      </c>
      <c r="G51" s="75"/>
      <c r="H51" s="75"/>
      <c r="I51" s="75"/>
      <c r="J51" s="75"/>
      <c r="K51" s="75"/>
      <c r="L51" s="75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</row>
    <row r="52" spans="1:28" x14ac:dyDescent="0.2">
      <c r="A52" s="75">
        <v>51</v>
      </c>
      <c r="B52" s="22" t="s">
        <v>119</v>
      </c>
      <c r="C52" s="13" t="s">
        <v>18</v>
      </c>
      <c r="D52" s="23">
        <v>43746</v>
      </c>
      <c r="E52" s="75"/>
      <c r="F52" s="13">
        <v>4</v>
      </c>
      <c r="G52" s="75"/>
      <c r="H52" s="75"/>
      <c r="I52" s="75"/>
      <c r="J52" s="75"/>
      <c r="K52" s="75"/>
      <c r="L52" s="75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</row>
    <row r="53" spans="1:28" x14ac:dyDescent="0.2">
      <c r="A53" s="75">
        <v>52</v>
      </c>
      <c r="B53" s="22" t="s">
        <v>24</v>
      </c>
      <c r="C53" s="13" t="s">
        <v>61</v>
      </c>
      <c r="D53" s="23">
        <v>43754</v>
      </c>
      <c r="E53" s="75"/>
      <c r="F53" s="13">
        <v>5</v>
      </c>
      <c r="G53" s="75"/>
      <c r="H53" s="75"/>
      <c r="I53" s="75"/>
      <c r="J53" s="75"/>
      <c r="K53" s="75"/>
      <c r="L53" s="75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</row>
    <row r="54" spans="1:28" x14ac:dyDescent="0.2">
      <c r="A54" s="75">
        <v>53</v>
      </c>
      <c r="B54" s="22" t="s">
        <v>120</v>
      </c>
      <c r="C54" s="13" t="s">
        <v>61</v>
      </c>
      <c r="D54" s="23">
        <v>43756</v>
      </c>
      <c r="E54" s="75"/>
      <c r="F54" s="13">
        <v>3</v>
      </c>
      <c r="G54" s="75"/>
      <c r="H54" s="75"/>
      <c r="I54" s="75"/>
      <c r="J54" s="75"/>
      <c r="K54" s="75"/>
      <c r="L54" s="75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</row>
    <row r="55" spans="1:28" x14ac:dyDescent="0.2">
      <c r="A55" s="75">
        <v>54</v>
      </c>
      <c r="B55" s="22" t="s">
        <v>121</v>
      </c>
      <c r="C55" s="13" t="s">
        <v>73</v>
      </c>
      <c r="D55" s="23">
        <v>43759</v>
      </c>
      <c r="E55" s="75"/>
      <c r="F55" s="13">
        <v>3</v>
      </c>
      <c r="G55" s="75"/>
      <c r="H55" s="75"/>
      <c r="I55" s="75"/>
      <c r="J55" s="75"/>
      <c r="K55" s="75"/>
      <c r="L55" s="75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</row>
    <row r="56" spans="1:28" x14ac:dyDescent="0.2">
      <c r="A56" s="75">
        <v>55</v>
      </c>
      <c r="B56" s="22" t="s">
        <v>123</v>
      </c>
      <c r="C56" s="13" t="s">
        <v>18</v>
      </c>
      <c r="D56" s="23">
        <v>43781</v>
      </c>
      <c r="E56" s="75"/>
      <c r="F56" s="13">
        <v>4</v>
      </c>
      <c r="G56" s="75"/>
      <c r="H56" s="75"/>
      <c r="I56" s="75"/>
      <c r="J56" s="75"/>
      <c r="K56" s="75"/>
      <c r="L56" s="75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</row>
    <row r="57" spans="1:28" x14ac:dyDescent="0.2">
      <c r="A57" s="75">
        <v>56</v>
      </c>
      <c r="B57" s="22" t="s">
        <v>125</v>
      </c>
      <c r="C57" s="13" t="s">
        <v>61</v>
      </c>
      <c r="D57" s="23">
        <v>43798</v>
      </c>
      <c r="E57" s="75"/>
      <c r="F57" s="13">
        <v>5</v>
      </c>
      <c r="G57" s="75"/>
      <c r="H57" s="75"/>
      <c r="I57" s="75"/>
      <c r="J57" s="75"/>
      <c r="K57" s="75"/>
      <c r="L57" s="75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</row>
    <row r="58" spans="1:28" x14ac:dyDescent="0.2">
      <c r="A58" s="75">
        <v>57</v>
      </c>
      <c r="B58" s="22" t="s">
        <v>126</v>
      </c>
      <c r="C58" s="13" t="s">
        <v>61</v>
      </c>
      <c r="D58" s="23">
        <v>43806</v>
      </c>
      <c r="E58" s="75"/>
      <c r="F58" s="13">
        <v>4</v>
      </c>
      <c r="G58" s="75"/>
      <c r="H58" s="75"/>
      <c r="I58" s="75"/>
      <c r="J58" s="75"/>
      <c r="K58" s="75"/>
      <c r="L58" s="75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</row>
    <row r="59" spans="1:28" x14ac:dyDescent="0.2">
      <c r="A59" s="75">
        <v>58</v>
      </c>
      <c r="B59" s="22" t="s">
        <v>27</v>
      </c>
      <c r="C59" s="13" t="s">
        <v>61</v>
      </c>
      <c r="D59" s="23">
        <v>43815</v>
      </c>
      <c r="E59" s="75"/>
      <c r="F59" s="13">
        <v>4</v>
      </c>
      <c r="G59" s="75"/>
      <c r="H59" s="75"/>
      <c r="I59" s="75"/>
      <c r="J59" s="75"/>
      <c r="K59" s="75"/>
      <c r="L59" s="75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</row>
    <row r="60" spans="1:28" x14ac:dyDescent="0.2">
      <c r="A60" s="75">
        <v>59</v>
      </c>
      <c r="B60" s="22" t="s">
        <v>128</v>
      </c>
      <c r="C60" s="16" t="s">
        <v>61</v>
      </c>
      <c r="D60" s="31">
        <v>43823</v>
      </c>
      <c r="E60" s="75"/>
      <c r="F60" s="16">
        <v>4</v>
      </c>
      <c r="G60" s="75"/>
      <c r="H60" s="75"/>
      <c r="I60" s="75"/>
      <c r="J60" s="75"/>
      <c r="K60" s="75"/>
      <c r="L60" s="75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</row>
    <row r="61" spans="1:28" x14ac:dyDescent="0.2">
      <c r="A61" s="75">
        <v>60</v>
      </c>
      <c r="B61" s="22" t="s">
        <v>129</v>
      </c>
      <c r="C61" s="13" t="s">
        <v>61</v>
      </c>
      <c r="D61" s="23">
        <v>43829</v>
      </c>
      <c r="E61" s="75"/>
      <c r="F61" s="13">
        <v>4</v>
      </c>
      <c r="G61" s="75"/>
      <c r="H61" s="75"/>
      <c r="I61" s="75"/>
      <c r="J61" s="75"/>
      <c r="K61" s="75"/>
      <c r="L61" s="75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</row>
    <row r="62" spans="1:28" x14ac:dyDescent="0.2">
      <c r="A62" s="75">
        <v>61</v>
      </c>
      <c r="B62" s="22" t="s">
        <v>130</v>
      </c>
      <c r="C62" s="13" t="s">
        <v>18</v>
      </c>
      <c r="D62" s="23">
        <v>43836</v>
      </c>
      <c r="E62" s="75"/>
      <c r="F62" s="13">
        <v>4</v>
      </c>
      <c r="G62" s="75"/>
      <c r="H62" s="75"/>
      <c r="I62" s="75"/>
      <c r="J62" s="75"/>
      <c r="K62" s="75"/>
      <c r="L62" s="75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</row>
    <row r="63" spans="1:28" x14ac:dyDescent="0.2">
      <c r="A63" s="75">
        <v>62</v>
      </c>
      <c r="B63" s="22" t="s">
        <v>131</v>
      </c>
      <c r="C63" s="13" t="s">
        <v>61</v>
      </c>
      <c r="D63" s="23">
        <v>43846</v>
      </c>
      <c r="E63" s="75"/>
      <c r="F63" s="13">
        <v>4</v>
      </c>
      <c r="G63" s="75"/>
      <c r="H63" s="75"/>
      <c r="I63" s="75"/>
      <c r="J63" s="75"/>
      <c r="K63" s="75"/>
      <c r="L63" s="75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</row>
    <row r="64" spans="1:28" x14ac:dyDescent="0.2">
      <c r="A64" s="75">
        <v>63</v>
      </c>
      <c r="B64" s="22" t="s">
        <v>133</v>
      </c>
      <c r="C64" s="13" t="s">
        <v>18</v>
      </c>
      <c r="D64" s="23">
        <v>43879</v>
      </c>
      <c r="E64" s="75"/>
      <c r="F64" s="13">
        <v>4</v>
      </c>
      <c r="G64" s="75"/>
      <c r="H64" s="75"/>
      <c r="I64" s="75"/>
      <c r="J64" s="75"/>
      <c r="K64" s="75"/>
      <c r="L64" s="75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</row>
    <row r="65" spans="1:28" x14ac:dyDescent="0.2">
      <c r="A65" s="75">
        <v>64</v>
      </c>
      <c r="B65" s="22" t="s">
        <v>134</v>
      </c>
      <c r="C65" s="38" t="s">
        <v>73</v>
      </c>
      <c r="D65" s="23">
        <v>43897</v>
      </c>
      <c r="E65" s="75"/>
      <c r="F65" s="13">
        <v>4</v>
      </c>
      <c r="G65" s="75"/>
      <c r="H65" s="75"/>
      <c r="I65" s="75"/>
      <c r="J65" s="75"/>
      <c r="K65" s="75"/>
      <c r="L65" s="75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</row>
    <row r="66" spans="1:28" x14ac:dyDescent="0.2">
      <c r="A66" s="75">
        <v>65</v>
      </c>
      <c r="B66" s="22" t="s">
        <v>564</v>
      </c>
      <c r="C66" s="66" t="s">
        <v>61</v>
      </c>
      <c r="D66" s="67">
        <v>43944</v>
      </c>
      <c r="E66" s="75"/>
      <c r="F66" s="66">
        <v>2</v>
      </c>
      <c r="G66" s="75"/>
      <c r="H66" s="75"/>
      <c r="I66" s="75"/>
      <c r="J66" s="75"/>
      <c r="K66" s="75"/>
      <c r="L66" s="75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</row>
    <row r="67" spans="1:28" x14ac:dyDescent="0.2">
      <c r="A67" s="75">
        <v>66</v>
      </c>
      <c r="B67" s="22" t="s">
        <v>32</v>
      </c>
      <c r="C67" s="13" t="s">
        <v>18</v>
      </c>
      <c r="D67" s="23">
        <v>43988</v>
      </c>
      <c r="E67" s="75"/>
      <c r="F67" s="13">
        <v>4</v>
      </c>
      <c r="G67" s="75"/>
      <c r="H67" s="75"/>
      <c r="I67" s="75"/>
      <c r="J67" s="75"/>
      <c r="K67" s="75"/>
      <c r="L67" s="75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</row>
    <row r="68" spans="1:28" x14ac:dyDescent="0.2">
      <c r="A68" s="75">
        <v>67</v>
      </c>
      <c r="B68" s="22" t="s">
        <v>137</v>
      </c>
      <c r="C68" s="13" t="s">
        <v>61</v>
      </c>
      <c r="D68" s="23">
        <v>43994</v>
      </c>
      <c r="E68" s="75"/>
      <c r="F68" s="13">
        <v>1</v>
      </c>
      <c r="G68" s="75"/>
      <c r="H68" s="75"/>
      <c r="I68" s="75"/>
      <c r="J68" s="75"/>
      <c r="K68" s="75"/>
      <c r="L68" s="75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</row>
    <row r="69" spans="1:28" x14ac:dyDescent="0.2">
      <c r="A69" s="75">
        <v>68</v>
      </c>
      <c r="B69" s="22" t="s">
        <v>139</v>
      </c>
      <c r="C69" s="13" t="s">
        <v>61</v>
      </c>
      <c r="D69" s="23">
        <v>44018</v>
      </c>
      <c r="E69" s="75"/>
      <c r="F69" s="13">
        <v>3</v>
      </c>
      <c r="G69" s="75"/>
      <c r="H69" s="75"/>
      <c r="I69" s="75"/>
      <c r="J69" s="75"/>
      <c r="K69" s="75"/>
      <c r="L69" s="75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 spans="1:28" x14ac:dyDescent="0.2">
      <c r="A70" s="75">
        <v>69</v>
      </c>
      <c r="B70" s="22" t="s">
        <v>141</v>
      </c>
      <c r="C70" s="13" t="s">
        <v>61</v>
      </c>
      <c r="D70" s="23">
        <v>44021</v>
      </c>
      <c r="E70" s="75"/>
      <c r="F70" s="13">
        <v>4</v>
      </c>
      <c r="G70" s="75"/>
      <c r="H70" s="75"/>
      <c r="I70" s="75"/>
      <c r="J70" s="75"/>
      <c r="K70" s="75"/>
      <c r="L70" s="75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</row>
    <row r="71" spans="1:28" x14ac:dyDescent="0.2">
      <c r="A71" s="75">
        <v>70</v>
      </c>
      <c r="B71" s="22" t="s">
        <v>142</v>
      </c>
      <c r="C71" s="13" t="s">
        <v>73</v>
      </c>
      <c r="D71" s="23">
        <v>44029</v>
      </c>
      <c r="E71" s="75"/>
      <c r="F71" s="13">
        <v>3</v>
      </c>
      <c r="G71" s="75"/>
      <c r="H71" s="75"/>
      <c r="I71" s="75"/>
      <c r="J71" s="75"/>
      <c r="K71" s="75"/>
      <c r="L71" s="75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</row>
    <row r="72" spans="1:28" x14ac:dyDescent="0.2">
      <c r="A72" s="75">
        <v>71</v>
      </c>
      <c r="B72" s="22" t="s">
        <v>42</v>
      </c>
      <c r="C72" s="13" t="s">
        <v>61</v>
      </c>
      <c r="D72" s="23">
        <v>44036</v>
      </c>
      <c r="E72" s="75"/>
      <c r="F72" s="13">
        <v>4</v>
      </c>
      <c r="G72" s="75"/>
      <c r="H72" s="75"/>
      <c r="I72" s="75"/>
      <c r="J72" s="75"/>
      <c r="K72" s="75"/>
      <c r="L72" s="75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</row>
    <row r="73" spans="1:28" x14ac:dyDescent="0.2">
      <c r="A73" s="75">
        <v>72</v>
      </c>
      <c r="B73" s="22" t="s">
        <v>144</v>
      </c>
      <c r="C73" s="13" t="s">
        <v>61</v>
      </c>
      <c r="D73" s="23">
        <v>44059</v>
      </c>
      <c r="E73" s="75"/>
      <c r="F73" s="13">
        <v>4</v>
      </c>
      <c r="G73" s="75"/>
      <c r="H73" s="75"/>
      <c r="I73" s="75"/>
      <c r="J73" s="75"/>
      <c r="K73" s="75"/>
      <c r="L73" s="75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</row>
    <row r="74" spans="1:28" x14ac:dyDescent="0.2">
      <c r="A74" s="75">
        <v>73</v>
      </c>
      <c r="B74" s="22" t="s">
        <v>145</v>
      </c>
      <c r="C74" s="13" t="s">
        <v>73</v>
      </c>
      <c r="D74" s="23">
        <v>44059</v>
      </c>
      <c r="E74" s="75"/>
      <c r="F74" s="13">
        <v>3</v>
      </c>
      <c r="G74" s="75"/>
      <c r="H74" s="75"/>
      <c r="I74" s="75"/>
      <c r="J74" s="75"/>
      <c r="K74" s="75"/>
      <c r="L74" s="75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</row>
    <row r="75" spans="1:28" x14ac:dyDescent="0.2">
      <c r="A75" s="75">
        <v>74</v>
      </c>
      <c r="B75" s="22" t="s">
        <v>146</v>
      </c>
      <c r="C75" s="13" t="s">
        <v>61</v>
      </c>
      <c r="D75" s="23">
        <v>44071</v>
      </c>
      <c r="E75" s="75"/>
      <c r="F75" s="13">
        <v>3</v>
      </c>
      <c r="G75" s="75"/>
      <c r="H75" s="75"/>
      <c r="I75" s="75"/>
      <c r="J75" s="75"/>
      <c r="K75" s="75"/>
      <c r="L75" s="75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</row>
    <row r="76" spans="1:28" x14ac:dyDescent="0.2">
      <c r="A76" s="75">
        <v>75</v>
      </c>
      <c r="B76" s="22" t="s">
        <v>148</v>
      </c>
      <c r="C76" s="13" t="s">
        <v>18</v>
      </c>
      <c r="D76" s="23">
        <v>44076</v>
      </c>
      <c r="E76" s="75"/>
      <c r="F76" s="13">
        <v>4</v>
      </c>
      <c r="G76" s="75"/>
      <c r="H76" s="75"/>
      <c r="I76" s="75"/>
      <c r="J76" s="75"/>
      <c r="K76" s="75"/>
      <c r="L76" s="75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</row>
    <row r="77" spans="1:28" x14ac:dyDescent="0.2">
      <c r="A77" s="75">
        <v>76</v>
      </c>
      <c r="B77" s="22" t="s">
        <v>151</v>
      </c>
      <c r="C77" s="16" t="s">
        <v>61</v>
      </c>
      <c r="D77" s="31">
        <v>44081</v>
      </c>
      <c r="E77" s="75"/>
      <c r="F77" s="16">
        <v>3</v>
      </c>
      <c r="G77" s="75"/>
      <c r="H77" s="75"/>
      <c r="I77" s="75"/>
      <c r="J77" s="75"/>
      <c r="K77" s="75"/>
      <c r="L77" s="75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</row>
    <row r="78" spans="1:28" x14ac:dyDescent="0.2">
      <c r="A78" s="75">
        <v>77</v>
      </c>
      <c r="B78" s="22" t="s">
        <v>152</v>
      </c>
      <c r="C78" s="16" t="s">
        <v>73</v>
      </c>
      <c r="D78" s="31">
        <v>44086</v>
      </c>
      <c r="E78" s="75"/>
      <c r="F78" s="16">
        <v>3</v>
      </c>
      <c r="G78" s="75"/>
      <c r="H78" s="75"/>
      <c r="I78" s="75"/>
      <c r="J78" s="75"/>
      <c r="K78" s="75"/>
      <c r="L78" s="75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</row>
    <row r="79" spans="1:28" x14ac:dyDescent="0.2">
      <c r="A79" s="75">
        <v>78</v>
      </c>
      <c r="B79" s="22" t="s">
        <v>153</v>
      </c>
      <c r="C79" s="16" t="s">
        <v>61</v>
      </c>
      <c r="D79" s="31">
        <v>44087</v>
      </c>
      <c r="E79" s="75"/>
      <c r="F79" s="16">
        <v>2</v>
      </c>
      <c r="G79" s="75"/>
      <c r="H79" s="75"/>
      <c r="I79" s="75"/>
      <c r="J79" s="75"/>
      <c r="K79" s="75"/>
      <c r="L79" s="75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</row>
    <row r="80" spans="1:28" x14ac:dyDescent="0.2">
      <c r="A80" s="75">
        <v>79</v>
      </c>
      <c r="B80" s="22" t="s">
        <v>154</v>
      </c>
      <c r="C80" s="16" t="s">
        <v>73</v>
      </c>
      <c r="D80" s="31">
        <v>43983</v>
      </c>
      <c r="E80" s="75"/>
      <c r="F80" s="16">
        <v>2</v>
      </c>
      <c r="G80" s="75"/>
      <c r="H80" s="75"/>
      <c r="I80" s="75"/>
      <c r="J80" s="75"/>
      <c r="K80" s="75"/>
      <c r="L80" s="75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</row>
    <row r="81" spans="1:28" x14ac:dyDescent="0.2">
      <c r="A81" s="75">
        <v>80</v>
      </c>
      <c r="B81" s="22" t="s">
        <v>155</v>
      </c>
      <c r="C81" s="16" t="s">
        <v>73</v>
      </c>
      <c r="D81" s="31">
        <v>44095</v>
      </c>
      <c r="E81" s="75"/>
      <c r="F81" s="16">
        <v>2</v>
      </c>
      <c r="G81" s="75"/>
      <c r="H81" s="75"/>
      <c r="I81" s="75"/>
      <c r="J81" s="75"/>
      <c r="K81" s="75"/>
      <c r="L81" s="75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</row>
    <row r="82" spans="1:28" x14ac:dyDescent="0.2">
      <c r="A82" s="75">
        <v>81</v>
      </c>
      <c r="B82" s="22" t="s">
        <v>158</v>
      </c>
      <c r="C82" s="16" t="s">
        <v>61</v>
      </c>
      <c r="D82" s="31">
        <v>44104</v>
      </c>
      <c r="E82" s="75"/>
      <c r="F82" s="16">
        <v>3</v>
      </c>
      <c r="G82" s="75"/>
      <c r="H82" s="75"/>
      <c r="I82" s="75"/>
      <c r="J82" s="75"/>
      <c r="K82" s="75"/>
      <c r="L82" s="75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</row>
    <row r="83" spans="1:28" x14ac:dyDescent="0.2">
      <c r="A83" s="75">
        <v>82</v>
      </c>
      <c r="B83" s="22" t="s">
        <v>159</v>
      </c>
      <c r="C83" s="13" t="s">
        <v>61</v>
      </c>
      <c r="D83" s="23">
        <v>44116</v>
      </c>
      <c r="E83" s="75"/>
      <c r="F83" s="13">
        <v>2</v>
      </c>
      <c r="G83" s="75"/>
      <c r="H83" s="75"/>
      <c r="I83" s="75"/>
      <c r="J83" s="75"/>
      <c r="K83" s="75"/>
      <c r="L83" s="75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</row>
    <row r="84" spans="1:28" x14ac:dyDescent="0.2">
      <c r="A84" s="75">
        <v>83</v>
      </c>
      <c r="B84" s="58" t="s">
        <v>299</v>
      </c>
      <c r="C84" s="13" t="s">
        <v>61</v>
      </c>
      <c r="D84" s="23">
        <v>44125</v>
      </c>
      <c r="E84" s="75"/>
      <c r="F84" s="75"/>
      <c r="G84" s="75"/>
      <c r="H84" s="75"/>
      <c r="I84" s="75"/>
      <c r="J84" s="75"/>
      <c r="K84" s="75"/>
      <c r="L84" s="75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</row>
    <row r="85" spans="1:28" x14ac:dyDescent="0.2">
      <c r="A85" s="75">
        <v>84</v>
      </c>
      <c r="B85" s="22" t="s">
        <v>161</v>
      </c>
      <c r="C85" s="13" t="s">
        <v>61</v>
      </c>
      <c r="D85" s="23">
        <v>44139</v>
      </c>
      <c r="E85" s="75"/>
      <c r="F85" s="13">
        <v>4</v>
      </c>
      <c r="G85" s="75"/>
      <c r="H85" s="75"/>
      <c r="I85" s="75"/>
      <c r="J85" s="75"/>
      <c r="K85" s="75"/>
      <c r="L85" s="75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</row>
    <row r="86" spans="1:28" x14ac:dyDescent="0.2">
      <c r="A86" s="75">
        <v>85</v>
      </c>
      <c r="B86" s="22" t="s">
        <v>162</v>
      </c>
      <c r="C86" s="13" t="s">
        <v>18</v>
      </c>
      <c r="D86" s="23">
        <v>46349</v>
      </c>
      <c r="E86" s="75"/>
      <c r="F86" s="13">
        <v>2</v>
      </c>
      <c r="G86" s="75"/>
      <c r="H86" s="75"/>
      <c r="I86" s="75"/>
      <c r="J86" s="75"/>
      <c r="K86" s="75"/>
      <c r="L86" s="75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</row>
    <row r="87" spans="1:28" x14ac:dyDescent="0.2">
      <c r="A87" s="75">
        <v>86</v>
      </c>
      <c r="B87" s="22" t="s">
        <v>164</v>
      </c>
      <c r="C87" s="13" t="s">
        <v>61</v>
      </c>
      <c r="D87" s="23">
        <v>44164</v>
      </c>
      <c r="E87" s="75"/>
      <c r="F87" s="13">
        <v>3</v>
      </c>
      <c r="G87" s="75"/>
      <c r="H87" s="75"/>
      <c r="I87" s="75"/>
      <c r="J87" s="75"/>
      <c r="K87" s="75"/>
      <c r="L87" s="75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</row>
    <row r="88" spans="1:28" x14ac:dyDescent="0.2">
      <c r="A88" s="75">
        <v>87</v>
      </c>
      <c r="B88" s="22" t="s">
        <v>166</v>
      </c>
      <c r="C88" s="13" t="s">
        <v>61</v>
      </c>
      <c r="D88" s="23">
        <v>44165</v>
      </c>
      <c r="E88" s="75"/>
      <c r="F88" s="13">
        <v>2</v>
      </c>
      <c r="G88" s="75"/>
      <c r="H88" s="75"/>
      <c r="I88" s="75"/>
      <c r="J88" s="75"/>
      <c r="K88" s="75"/>
      <c r="L88" s="75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</row>
    <row r="89" spans="1:28" x14ac:dyDescent="0.2">
      <c r="A89" s="75">
        <v>88</v>
      </c>
      <c r="B89" s="22" t="s">
        <v>37</v>
      </c>
      <c r="C89" s="13" t="s">
        <v>61</v>
      </c>
      <c r="D89" s="23">
        <v>44170</v>
      </c>
      <c r="E89" s="75"/>
      <c r="F89" s="13">
        <v>3</v>
      </c>
      <c r="G89" s="75"/>
      <c r="H89" s="75"/>
      <c r="I89" s="75"/>
      <c r="J89" s="75"/>
      <c r="K89" s="75"/>
      <c r="L89" s="75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</row>
    <row r="90" spans="1:28" x14ac:dyDescent="0.2">
      <c r="A90" s="75">
        <v>89</v>
      </c>
      <c r="B90" s="22" t="s">
        <v>167</v>
      </c>
      <c r="C90" s="13" t="s">
        <v>61</v>
      </c>
      <c r="D90" s="23">
        <v>44195</v>
      </c>
      <c r="E90" s="75"/>
      <c r="F90" s="13">
        <v>1</v>
      </c>
      <c r="G90" s="75"/>
      <c r="H90" s="75"/>
      <c r="I90" s="75"/>
      <c r="J90" s="75"/>
      <c r="K90" s="75"/>
      <c r="L90" s="75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</row>
    <row r="91" spans="1:28" x14ac:dyDescent="0.2">
      <c r="A91" s="75">
        <v>90</v>
      </c>
      <c r="B91" s="22" t="s">
        <v>169</v>
      </c>
      <c r="C91" s="13" t="s">
        <v>73</v>
      </c>
      <c r="D91" s="23">
        <v>44206</v>
      </c>
      <c r="E91" s="75"/>
      <c r="F91" s="13">
        <v>3</v>
      </c>
      <c r="G91" s="75"/>
      <c r="H91" s="75"/>
      <c r="I91" s="75"/>
      <c r="J91" s="75"/>
      <c r="K91" s="75"/>
      <c r="L91" s="75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</row>
    <row r="92" spans="1:28" x14ac:dyDescent="0.2">
      <c r="A92" s="75">
        <v>91</v>
      </c>
      <c r="B92" s="22" t="s">
        <v>44</v>
      </c>
      <c r="C92" s="13" t="s">
        <v>61</v>
      </c>
      <c r="D92" s="23">
        <v>44212</v>
      </c>
      <c r="E92" s="75"/>
      <c r="F92" s="13">
        <v>3</v>
      </c>
      <c r="G92" s="75"/>
      <c r="H92" s="75"/>
      <c r="I92" s="75"/>
      <c r="J92" s="75"/>
      <c r="K92" s="75"/>
      <c r="L92" s="75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</row>
    <row r="93" spans="1:28" x14ac:dyDescent="0.2">
      <c r="A93" s="75">
        <v>92</v>
      </c>
      <c r="B93" s="22" t="s">
        <v>170</v>
      </c>
      <c r="C93" s="13" t="s">
        <v>18</v>
      </c>
      <c r="D93" s="23">
        <v>44224</v>
      </c>
      <c r="E93" s="75"/>
      <c r="F93" s="13">
        <v>3</v>
      </c>
      <c r="G93" s="75"/>
      <c r="H93" s="75"/>
      <c r="I93" s="75"/>
      <c r="J93" s="75"/>
      <c r="K93" s="75"/>
      <c r="L93" s="75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</row>
    <row r="94" spans="1:28" x14ac:dyDescent="0.2">
      <c r="A94" s="75">
        <v>93</v>
      </c>
      <c r="B94" s="22" t="s">
        <v>172</v>
      </c>
      <c r="C94" s="13" t="s">
        <v>61</v>
      </c>
      <c r="D94" s="23">
        <v>44229</v>
      </c>
      <c r="E94" s="75"/>
      <c r="F94" s="13">
        <v>2</v>
      </c>
      <c r="G94" s="75"/>
      <c r="H94" s="75"/>
      <c r="I94" s="75"/>
      <c r="J94" s="75"/>
      <c r="K94" s="75"/>
      <c r="L94" s="75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</row>
    <row r="95" spans="1:28" x14ac:dyDescent="0.2">
      <c r="A95" s="75">
        <v>94</v>
      </c>
      <c r="B95" s="22" t="s">
        <v>173</v>
      </c>
      <c r="C95" s="13" t="s">
        <v>61</v>
      </c>
      <c r="D95" s="23">
        <v>44231</v>
      </c>
      <c r="E95" s="75"/>
      <c r="F95" s="13">
        <v>3</v>
      </c>
      <c r="G95" s="75"/>
      <c r="H95" s="75"/>
      <c r="I95" s="75"/>
      <c r="J95" s="75"/>
      <c r="K95" s="75"/>
      <c r="L95" s="75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</row>
    <row r="96" spans="1:28" x14ac:dyDescent="0.2">
      <c r="A96" s="75">
        <v>95</v>
      </c>
      <c r="B96" s="22" t="s">
        <v>174</v>
      </c>
      <c r="C96" s="13" t="s">
        <v>61</v>
      </c>
      <c r="D96" s="23">
        <v>44248</v>
      </c>
      <c r="E96" s="75"/>
      <c r="F96" s="13">
        <v>3</v>
      </c>
      <c r="G96" s="75"/>
      <c r="H96" s="75"/>
      <c r="I96" s="75"/>
      <c r="J96" s="75"/>
      <c r="K96" s="75"/>
      <c r="L96" s="75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</row>
    <row r="97" spans="1:28" x14ac:dyDescent="0.2">
      <c r="A97" s="75">
        <v>96</v>
      </c>
      <c r="B97" s="22" t="s">
        <v>175</v>
      </c>
      <c r="C97" s="13" t="s">
        <v>61</v>
      </c>
      <c r="D97" s="23">
        <v>44266</v>
      </c>
      <c r="E97" s="75"/>
      <c r="F97" s="13">
        <v>2</v>
      </c>
      <c r="G97" s="75"/>
      <c r="H97" s="75"/>
      <c r="I97" s="75"/>
      <c r="J97" s="75"/>
      <c r="K97" s="75"/>
      <c r="L97" s="75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</row>
    <row r="98" spans="1:28" x14ac:dyDescent="0.2">
      <c r="A98" s="75">
        <v>97</v>
      </c>
      <c r="B98" s="22" t="s">
        <v>176</v>
      </c>
      <c r="C98" s="13" t="s">
        <v>61</v>
      </c>
      <c r="D98" s="23">
        <v>44274</v>
      </c>
      <c r="E98" s="75"/>
      <c r="F98" s="13">
        <v>3</v>
      </c>
      <c r="G98" s="75"/>
      <c r="H98" s="75"/>
      <c r="I98" s="75"/>
      <c r="J98" s="75"/>
      <c r="K98" s="75"/>
      <c r="L98" s="75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</row>
    <row r="99" spans="1:28" x14ac:dyDescent="0.2">
      <c r="A99" s="75">
        <v>98</v>
      </c>
      <c r="B99" s="22" t="s">
        <v>178</v>
      </c>
      <c r="C99" s="13" t="s">
        <v>61</v>
      </c>
      <c r="D99" s="23">
        <v>44302</v>
      </c>
      <c r="E99" s="75"/>
      <c r="F99" s="13">
        <v>3</v>
      </c>
      <c r="G99" s="75"/>
      <c r="H99" s="75"/>
      <c r="I99" s="75"/>
      <c r="J99" s="75"/>
      <c r="K99" s="75"/>
      <c r="L99" s="75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</row>
    <row r="100" spans="1:28" x14ac:dyDescent="0.2">
      <c r="A100" s="75">
        <v>99</v>
      </c>
      <c r="B100" s="22" t="s">
        <v>179</v>
      </c>
      <c r="C100" s="13" t="s">
        <v>61</v>
      </c>
      <c r="D100" s="23">
        <v>44303</v>
      </c>
      <c r="E100" s="75"/>
      <c r="F100" s="13">
        <v>1</v>
      </c>
      <c r="G100" s="75"/>
      <c r="H100" s="75"/>
      <c r="I100" s="75"/>
      <c r="J100" s="75"/>
      <c r="K100" s="75"/>
      <c r="L100" s="75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</row>
    <row r="101" spans="1:28" x14ac:dyDescent="0.2">
      <c r="A101" s="75">
        <v>100</v>
      </c>
      <c r="B101" s="22" t="s">
        <v>180</v>
      </c>
      <c r="C101" s="13" t="s">
        <v>61</v>
      </c>
      <c r="D101" s="23">
        <v>44330</v>
      </c>
      <c r="E101" s="75"/>
      <c r="F101" s="13">
        <v>3</v>
      </c>
      <c r="G101" s="75"/>
      <c r="H101" s="75"/>
      <c r="I101" s="75"/>
      <c r="J101" s="75"/>
      <c r="K101" s="75"/>
      <c r="L101" s="75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</row>
    <row r="102" spans="1:28" x14ac:dyDescent="0.2">
      <c r="A102" s="75">
        <v>101</v>
      </c>
      <c r="B102" s="22" t="s">
        <v>182</v>
      </c>
      <c r="C102" s="13" t="s">
        <v>61</v>
      </c>
      <c r="D102" s="23">
        <v>44337</v>
      </c>
      <c r="E102" s="75"/>
      <c r="F102" s="13">
        <v>2</v>
      </c>
      <c r="G102" s="75"/>
      <c r="H102" s="75"/>
      <c r="I102" s="75"/>
      <c r="J102" s="75"/>
      <c r="K102" s="75"/>
      <c r="L102" s="75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</row>
    <row r="103" spans="1:28" x14ac:dyDescent="0.2">
      <c r="A103" s="75">
        <v>102</v>
      </c>
      <c r="B103" s="22" t="s">
        <v>183</v>
      </c>
      <c r="C103" s="13" t="s">
        <v>61</v>
      </c>
      <c r="D103" s="23">
        <v>44357</v>
      </c>
      <c r="E103" s="75"/>
      <c r="F103" s="13">
        <v>2</v>
      </c>
      <c r="G103" s="75"/>
      <c r="H103" s="75"/>
      <c r="I103" s="75"/>
      <c r="J103" s="75"/>
      <c r="K103" s="75"/>
      <c r="L103" s="75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</row>
    <row r="104" spans="1:28" x14ac:dyDescent="0.2">
      <c r="A104" s="75">
        <v>103</v>
      </c>
      <c r="B104" s="22" t="s">
        <v>185</v>
      </c>
      <c r="C104" s="13" t="s">
        <v>61</v>
      </c>
      <c r="D104" s="23">
        <v>44370</v>
      </c>
      <c r="E104" s="75"/>
      <c r="F104" s="13">
        <v>3</v>
      </c>
      <c r="G104" s="75"/>
      <c r="H104" s="75"/>
      <c r="I104" s="75"/>
      <c r="J104" s="75"/>
      <c r="K104" s="75"/>
      <c r="L104" s="75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</row>
    <row r="105" spans="1:28" x14ac:dyDescent="0.2">
      <c r="A105" s="75">
        <v>104</v>
      </c>
      <c r="B105" s="22" t="s">
        <v>38</v>
      </c>
      <c r="C105" s="13" t="s">
        <v>61</v>
      </c>
      <c r="D105" s="23">
        <v>44376</v>
      </c>
      <c r="E105" s="75"/>
      <c r="F105" s="13">
        <v>3</v>
      </c>
      <c r="G105" s="75"/>
      <c r="H105" s="75"/>
      <c r="I105" s="75"/>
      <c r="J105" s="75"/>
      <c r="K105" s="75"/>
      <c r="L105" s="75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</row>
    <row r="106" spans="1:28" x14ac:dyDescent="0.2">
      <c r="A106" s="75">
        <v>105</v>
      </c>
      <c r="B106" s="22" t="s">
        <v>187</v>
      </c>
      <c r="C106" s="13" t="s">
        <v>63</v>
      </c>
      <c r="D106" s="23">
        <v>44389</v>
      </c>
      <c r="E106" s="75"/>
      <c r="F106" s="13">
        <v>3</v>
      </c>
      <c r="G106" s="75"/>
      <c r="H106" s="75"/>
      <c r="I106" s="75"/>
      <c r="J106" s="75"/>
      <c r="K106" s="75"/>
      <c r="L106" s="75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</row>
    <row r="107" spans="1:28" x14ac:dyDescent="0.2">
      <c r="A107" s="75">
        <v>106</v>
      </c>
      <c r="B107" s="22" t="s">
        <v>189</v>
      </c>
      <c r="C107" s="13" t="s">
        <v>61</v>
      </c>
      <c r="D107" s="23">
        <v>44395</v>
      </c>
      <c r="E107" s="75"/>
      <c r="F107" s="13">
        <v>2</v>
      </c>
      <c r="G107" s="75"/>
      <c r="H107" s="75"/>
      <c r="I107" s="75"/>
      <c r="J107" s="75"/>
      <c r="K107" s="75"/>
      <c r="L107" s="75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</row>
    <row r="108" spans="1:28" x14ac:dyDescent="0.2">
      <c r="A108" s="75">
        <v>107</v>
      </c>
      <c r="B108" s="22" t="s">
        <v>191</v>
      </c>
      <c r="C108" s="13" t="s">
        <v>73</v>
      </c>
      <c r="D108" s="23">
        <v>44410</v>
      </c>
      <c r="E108" s="75"/>
      <c r="F108" s="13">
        <v>2</v>
      </c>
      <c r="G108" s="75"/>
      <c r="H108" s="75"/>
      <c r="I108" s="75"/>
      <c r="J108" s="75"/>
      <c r="K108" s="75"/>
      <c r="L108" s="75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</row>
    <row r="109" spans="1:28" x14ac:dyDescent="0.2">
      <c r="A109" s="75">
        <v>108</v>
      </c>
      <c r="B109" s="22" t="s">
        <v>192</v>
      </c>
      <c r="C109" s="13" t="s">
        <v>61</v>
      </c>
      <c r="D109" s="23">
        <v>44411</v>
      </c>
      <c r="E109" s="75"/>
      <c r="F109" s="13">
        <v>2</v>
      </c>
      <c r="G109" s="75"/>
      <c r="H109" s="75"/>
      <c r="I109" s="75"/>
      <c r="J109" s="75"/>
      <c r="K109" s="75"/>
      <c r="L109" s="75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</row>
    <row r="110" spans="1:28" x14ac:dyDescent="0.2">
      <c r="A110" s="75">
        <v>109</v>
      </c>
      <c r="B110" s="22" t="s">
        <v>194</v>
      </c>
      <c r="C110" s="13" t="s">
        <v>61</v>
      </c>
      <c r="D110" s="23">
        <v>44416</v>
      </c>
      <c r="E110" s="75"/>
      <c r="F110" s="13">
        <v>2</v>
      </c>
      <c r="G110" s="75"/>
      <c r="H110" s="75"/>
      <c r="I110" s="75"/>
      <c r="J110" s="75"/>
      <c r="K110" s="75"/>
      <c r="L110" s="75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</row>
    <row r="111" spans="1:28" x14ac:dyDescent="0.2">
      <c r="A111" s="75">
        <v>110</v>
      </c>
      <c r="B111" s="22" t="s">
        <v>195</v>
      </c>
      <c r="C111" s="13" t="s">
        <v>61</v>
      </c>
      <c r="D111" s="23">
        <v>44427</v>
      </c>
      <c r="E111" s="75"/>
      <c r="F111" s="13">
        <v>2</v>
      </c>
      <c r="G111" s="75"/>
      <c r="H111" s="75"/>
      <c r="I111" s="75"/>
      <c r="J111" s="75"/>
      <c r="K111" s="75"/>
      <c r="L111" s="75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75">
        <v>111</v>
      </c>
      <c r="B112" s="22" t="s">
        <v>196</v>
      </c>
      <c r="C112" s="13" t="s">
        <v>61</v>
      </c>
      <c r="D112" s="23">
        <v>44436</v>
      </c>
      <c r="E112" s="75"/>
      <c r="F112" s="13">
        <v>2</v>
      </c>
      <c r="G112" s="75"/>
      <c r="H112" s="75"/>
      <c r="I112" s="75"/>
      <c r="J112" s="75"/>
      <c r="K112" s="75"/>
      <c r="L112" s="75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</row>
    <row r="113" spans="1:28" x14ac:dyDescent="0.2">
      <c r="A113" s="75">
        <v>112</v>
      </c>
      <c r="B113" s="22" t="s">
        <v>197</v>
      </c>
      <c r="C113" s="13" t="s">
        <v>61</v>
      </c>
      <c r="D113" s="23">
        <v>44446</v>
      </c>
      <c r="E113" s="75"/>
      <c r="F113" s="13">
        <v>2</v>
      </c>
      <c r="G113" s="75"/>
      <c r="H113" s="75"/>
      <c r="I113" s="75"/>
      <c r="J113" s="75"/>
      <c r="K113" s="75"/>
      <c r="L113" s="75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</row>
    <row r="114" spans="1:28" x14ac:dyDescent="0.2">
      <c r="A114" s="75">
        <v>113</v>
      </c>
      <c r="B114" s="22" t="s">
        <v>19</v>
      </c>
      <c r="C114" s="13" t="s">
        <v>61</v>
      </c>
      <c r="D114" s="23">
        <v>44464</v>
      </c>
      <c r="E114" s="75"/>
      <c r="F114" s="13">
        <v>3</v>
      </c>
      <c r="G114" s="75"/>
      <c r="H114" s="75"/>
      <c r="I114" s="75"/>
      <c r="J114" s="75"/>
      <c r="K114" s="75"/>
      <c r="L114" s="75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</row>
    <row r="115" spans="1:28" x14ac:dyDescent="0.2">
      <c r="A115" s="75">
        <v>114</v>
      </c>
      <c r="B115" s="22" t="s">
        <v>198</v>
      </c>
      <c r="C115" s="13" t="s">
        <v>61</v>
      </c>
      <c r="D115" s="23">
        <v>44471</v>
      </c>
      <c r="E115" s="75"/>
      <c r="F115" s="13">
        <v>2</v>
      </c>
      <c r="G115" s="75"/>
      <c r="H115" s="75"/>
      <c r="I115" s="75"/>
      <c r="J115" s="75"/>
      <c r="K115" s="75"/>
      <c r="L115" s="75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</row>
    <row r="116" spans="1:28" x14ac:dyDescent="0.2">
      <c r="A116" s="75">
        <v>115</v>
      </c>
      <c r="B116" s="22" t="s">
        <v>200</v>
      </c>
      <c r="C116" s="13" t="s">
        <v>61</v>
      </c>
      <c r="D116" s="23">
        <v>44474</v>
      </c>
      <c r="E116" s="75"/>
      <c r="F116" s="13">
        <v>2</v>
      </c>
      <c r="G116" s="75"/>
      <c r="H116" s="75"/>
      <c r="I116" s="75"/>
      <c r="J116" s="75"/>
      <c r="K116" s="75"/>
      <c r="L116" s="75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</row>
    <row r="117" spans="1:28" x14ac:dyDescent="0.2">
      <c r="A117" s="75">
        <v>116</v>
      </c>
      <c r="B117" s="22" t="s">
        <v>202</v>
      </c>
      <c r="C117" s="13" t="s">
        <v>61</v>
      </c>
      <c r="D117" s="23">
        <v>44490</v>
      </c>
      <c r="E117" s="75"/>
      <c r="F117" s="13">
        <v>2</v>
      </c>
      <c r="G117" s="75"/>
      <c r="H117" s="75"/>
      <c r="I117" s="75"/>
      <c r="J117" s="75"/>
      <c r="K117" s="75"/>
      <c r="L117" s="75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</row>
    <row r="118" spans="1:28" x14ac:dyDescent="0.2">
      <c r="A118" s="75">
        <v>117</v>
      </c>
      <c r="B118" s="22" t="s">
        <v>203</v>
      </c>
      <c r="C118" s="13" t="s">
        <v>61</v>
      </c>
      <c r="D118" s="23">
        <v>44547</v>
      </c>
      <c r="E118" s="75"/>
      <c r="F118" s="13">
        <v>2</v>
      </c>
      <c r="G118" s="75"/>
      <c r="H118" s="75"/>
      <c r="I118" s="75"/>
      <c r="J118" s="75"/>
      <c r="K118" s="75"/>
      <c r="L118" s="75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</row>
    <row r="119" spans="1:28" x14ac:dyDescent="0.2">
      <c r="A119" s="75">
        <v>118</v>
      </c>
      <c r="B119" s="22" t="s">
        <v>206</v>
      </c>
      <c r="C119" s="13" t="s">
        <v>61</v>
      </c>
      <c r="D119" s="23">
        <v>44549</v>
      </c>
      <c r="E119" s="75"/>
      <c r="F119" s="13">
        <v>1</v>
      </c>
      <c r="G119" s="75"/>
      <c r="H119" s="75"/>
      <c r="I119" s="75"/>
      <c r="J119" s="75"/>
      <c r="K119" s="75"/>
      <c r="L119" s="75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</row>
    <row r="120" spans="1:28" x14ac:dyDescent="0.2">
      <c r="A120" s="75">
        <v>119</v>
      </c>
      <c r="B120" s="22" t="s">
        <v>208</v>
      </c>
      <c r="C120" s="13" t="s">
        <v>61</v>
      </c>
      <c r="D120" s="23">
        <v>44558</v>
      </c>
      <c r="E120" s="75"/>
      <c r="F120" s="13">
        <v>1</v>
      </c>
      <c r="G120" s="75"/>
      <c r="H120" s="75"/>
      <c r="I120" s="75"/>
      <c r="J120" s="75"/>
      <c r="K120" s="75"/>
      <c r="L120" s="75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</row>
    <row r="121" spans="1:28" x14ac:dyDescent="0.2">
      <c r="A121" s="75">
        <v>120</v>
      </c>
      <c r="B121" s="22" t="s">
        <v>209</v>
      </c>
      <c r="C121" s="13" t="s">
        <v>61</v>
      </c>
      <c r="D121" s="23">
        <v>44558</v>
      </c>
      <c r="E121" s="75"/>
      <c r="F121" s="13">
        <v>1</v>
      </c>
      <c r="G121" s="75"/>
      <c r="H121" s="75"/>
      <c r="I121" s="75"/>
      <c r="J121" s="75"/>
      <c r="K121" s="75"/>
      <c r="L121" s="75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</row>
    <row r="122" spans="1:28" x14ac:dyDescent="0.2">
      <c r="A122" s="75">
        <v>121</v>
      </c>
      <c r="B122" s="22" t="s">
        <v>22</v>
      </c>
      <c r="C122" s="13" t="s">
        <v>61</v>
      </c>
      <c r="D122" s="23">
        <v>44563</v>
      </c>
      <c r="E122" s="75"/>
      <c r="F122" s="13">
        <v>2</v>
      </c>
      <c r="G122" s="75"/>
      <c r="H122" s="75"/>
      <c r="I122" s="75"/>
      <c r="J122" s="75"/>
      <c r="K122" s="75"/>
      <c r="L122" s="75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</row>
    <row r="123" spans="1:28" x14ac:dyDescent="0.2">
      <c r="A123" s="75">
        <v>122</v>
      </c>
      <c r="B123" s="22" t="s">
        <v>210</v>
      </c>
      <c r="C123" s="13" t="s">
        <v>61</v>
      </c>
      <c r="D123" s="23">
        <v>44618</v>
      </c>
      <c r="E123" s="75"/>
      <c r="F123" s="13">
        <v>2</v>
      </c>
      <c r="G123" s="75"/>
      <c r="H123" s="75"/>
      <c r="I123" s="75"/>
      <c r="J123" s="75"/>
      <c r="K123" s="75"/>
      <c r="L123" s="75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</row>
    <row r="124" spans="1:28" x14ac:dyDescent="0.2">
      <c r="A124" s="75">
        <v>123</v>
      </c>
      <c r="B124" s="22" t="s">
        <v>211</v>
      </c>
      <c r="C124" s="13" t="s">
        <v>61</v>
      </c>
      <c r="D124" s="23">
        <v>44622</v>
      </c>
      <c r="E124" s="75"/>
      <c r="F124" s="13">
        <v>2</v>
      </c>
      <c r="G124" s="75"/>
      <c r="H124" s="75"/>
      <c r="I124" s="75"/>
      <c r="J124" s="75"/>
      <c r="K124" s="75"/>
      <c r="L124" s="75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</row>
    <row r="125" spans="1:28" x14ac:dyDescent="0.2">
      <c r="A125" s="75">
        <v>124</v>
      </c>
      <c r="B125" s="22" t="s">
        <v>212</v>
      </c>
      <c r="C125" s="13" t="s">
        <v>73</v>
      </c>
      <c r="D125" s="23">
        <v>44656</v>
      </c>
      <c r="E125" s="75"/>
      <c r="F125" s="13">
        <v>2</v>
      </c>
      <c r="G125" s="75"/>
      <c r="H125" s="75"/>
      <c r="I125" s="75"/>
      <c r="J125" s="75"/>
      <c r="K125" s="75"/>
      <c r="L125" s="75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</row>
    <row r="126" spans="1:28" x14ac:dyDescent="0.2">
      <c r="A126" s="75">
        <v>125</v>
      </c>
      <c r="B126" s="22" t="s">
        <v>213</v>
      </c>
      <c r="C126" s="13" t="s">
        <v>61</v>
      </c>
      <c r="D126" s="23">
        <v>44665</v>
      </c>
      <c r="E126" s="75"/>
      <c r="F126" s="13">
        <v>1</v>
      </c>
      <c r="G126" s="75"/>
      <c r="H126" s="75"/>
      <c r="I126" s="75"/>
      <c r="J126" s="75"/>
      <c r="K126" s="75"/>
      <c r="L126" s="75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</row>
    <row r="127" spans="1:28" x14ac:dyDescent="0.2">
      <c r="A127" s="75">
        <v>126</v>
      </c>
      <c r="B127" s="22" t="s">
        <v>215</v>
      </c>
      <c r="C127" s="13" t="s">
        <v>61</v>
      </c>
      <c r="D127" s="23">
        <v>44668</v>
      </c>
      <c r="E127" s="75"/>
      <c r="F127" s="13">
        <v>2</v>
      </c>
      <c r="G127" s="75"/>
      <c r="H127" s="75"/>
      <c r="I127" s="75"/>
      <c r="J127" s="75"/>
      <c r="K127" s="75"/>
      <c r="L127" s="75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</row>
    <row r="128" spans="1:28" x14ac:dyDescent="0.2">
      <c r="A128" s="75">
        <v>127</v>
      </c>
      <c r="B128" s="22" t="s">
        <v>217</v>
      </c>
      <c r="C128" s="13" t="s">
        <v>61</v>
      </c>
      <c r="D128" s="23">
        <v>44668</v>
      </c>
      <c r="E128" s="75"/>
      <c r="F128" s="13">
        <v>2</v>
      </c>
      <c r="G128" s="75"/>
      <c r="H128" s="75"/>
      <c r="I128" s="75"/>
      <c r="J128" s="75"/>
      <c r="K128" s="75"/>
      <c r="L128" s="75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</row>
    <row r="129" spans="1:28" x14ac:dyDescent="0.2">
      <c r="A129" s="75">
        <v>128</v>
      </c>
      <c r="B129" s="22" t="s">
        <v>218</v>
      </c>
      <c r="C129" s="13" t="s">
        <v>61</v>
      </c>
      <c r="D129" s="23">
        <v>44676</v>
      </c>
      <c r="E129" s="75"/>
      <c r="F129" s="13">
        <v>2</v>
      </c>
      <c r="G129" s="75"/>
      <c r="H129" s="75"/>
      <c r="I129" s="75"/>
      <c r="J129" s="75"/>
      <c r="K129" s="75"/>
      <c r="L129" s="75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</row>
    <row r="130" spans="1:28" x14ac:dyDescent="0.2">
      <c r="A130" s="75">
        <v>129</v>
      </c>
      <c r="B130" s="22" t="s">
        <v>220</v>
      </c>
      <c r="C130" s="13" t="s">
        <v>61</v>
      </c>
      <c r="D130" s="23">
        <v>44680</v>
      </c>
      <c r="E130" s="75"/>
      <c r="F130" s="13">
        <v>1</v>
      </c>
      <c r="G130" s="75"/>
      <c r="H130" s="75"/>
      <c r="I130" s="75"/>
      <c r="J130" s="75"/>
      <c r="K130" s="75"/>
      <c r="L130" s="75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</row>
    <row r="131" spans="1:28" x14ac:dyDescent="0.2">
      <c r="A131" s="75">
        <v>130</v>
      </c>
      <c r="B131" s="22" t="s">
        <v>222</v>
      </c>
      <c r="C131" s="13" t="s">
        <v>61</v>
      </c>
      <c r="D131" s="23">
        <v>44682</v>
      </c>
      <c r="E131" s="75"/>
      <c r="F131" s="13">
        <v>2</v>
      </c>
      <c r="G131" s="75"/>
      <c r="H131" s="75"/>
      <c r="I131" s="75"/>
      <c r="J131" s="75"/>
      <c r="K131" s="75"/>
      <c r="L131" s="75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</row>
    <row r="132" spans="1:28" x14ac:dyDescent="0.2">
      <c r="A132" s="75">
        <v>131</v>
      </c>
      <c r="B132" s="22" t="s">
        <v>223</v>
      </c>
      <c r="C132" s="13" t="s">
        <v>61</v>
      </c>
      <c r="D132" s="23">
        <v>44686</v>
      </c>
      <c r="E132" s="75"/>
      <c r="F132" s="13">
        <v>2</v>
      </c>
      <c r="G132" s="75"/>
      <c r="H132" s="75"/>
      <c r="I132" s="75"/>
      <c r="J132" s="75"/>
      <c r="K132" s="75"/>
      <c r="L132" s="75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</row>
    <row r="133" spans="1:28" x14ac:dyDescent="0.2">
      <c r="A133" s="75">
        <v>132</v>
      </c>
      <c r="B133" s="22" t="s">
        <v>224</v>
      </c>
      <c r="C133" s="13" t="s">
        <v>61</v>
      </c>
      <c r="D133" s="23">
        <v>44691</v>
      </c>
      <c r="E133" s="75"/>
      <c r="F133" s="13">
        <v>1</v>
      </c>
      <c r="G133" s="75"/>
      <c r="H133" s="75"/>
      <c r="I133" s="75"/>
      <c r="J133" s="75"/>
      <c r="K133" s="75"/>
      <c r="L133" s="75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</row>
    <row r="134" spans="1:28" x14ac:dyDescent="0.2">
      <c r="A134" s="75">
        <v>133</v>
      </c>
      <c r="B134" s="22" t="s">
        <v>225</v>
      </c>
      <c r="C134" s="13" t="s">
        <v>61</v>
      </c>
      <c r="D134" s="23">
        <v>44725</v>
      </c>
      <c r="E134" s="75"/>
      <c r="F134" s="13">
        <v>1</v>
      </c>
      <c r="G134" s="75"/>
      <c r="H134" s="75"/>
      <c r="I134" s="75"/>
      <c r="J134" s="75"/>
      <c r="K134" s="75"/>
      <c r="L134" s="75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</row>
    <row r="135" spans="1:28" x14ac:dyDescent="0.2">
      <c r="A135" s="75">
        <v>134</v>
      </c>
      <c r="B135" s="22" t="s">
        <v>227</v>
      </c>
      <c r="C135" s="13" t="s">
        <v>61</v>
      </c>
      <c r="D135" s="23">
        <v>44735</v>
      </c>
      <c r="E135" s="75"/>
      <c r="F135" s="13">
        <v>1</v>
      </c>
      <c r="G135" s="75"/>
      <c r="H135" s="75"/>
      <c r="I135" s="75"/>
      <c r="J135" s="75"/>
      <c r="K135" s="75"/>
      <c r="L135" s="75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</row>
    <row r="136" spans="1:28" x14ac:dyDescent="0.2">
      <c r="A136" s="75">
        <v>135</v>
      </c>
      <c r="B136" s="22" t="s">
        <v>228</v>
      </c>
      <c r="C136" s="13" t="s">
        <v>61</v>
      </c>
      <c r="D136" s="23">
        <v>44735</v>
      </c>
      <c r="E136" s="75"/>
      <c r="F136" s="13">
        <v>1</v>
      </c>
      <c r="G136" s="75"/>
      <c r="H136" s="75"/>
      <c r="I136" s="75"/>
      <c r="J136" s="75"/>
      <c r="K136" s="75"/>
      <c r="L136" s="75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</row>
    <row r="137" spans="1:28" x14ac:dyDescent="0.2">
      <c r="A137" s="75">
        <v>136</v>
      </c>
      <c r="B137" s="22" t="s">
        <v>230</v>
      </c>
      <c r="C137" s="13" t="s">
        <v>63</v>
      </c>
      <c r="D137" s="23">
        <v>44742</v>
      </c>
      <c r="E137" s="75"/>
      <c r="F137" s="13">
        <v>1</v>
      </c>
      <c r="G137" s="75"/>
      <c r="H137" s="75"/>
      <c r="I137" s="75"/>
      <c r="J137" s="75"/>
      <c r="K137" s="75"/>
      <c r="L137" s="75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</row>
    <row r="138" spans="1:28" x14ac:dyDescent="0.2">
      <c r="A138" s="75">
        <v>137</v>
      </c>
      <c r="B138" s="22" t="s">
        <v>388</v>
      </c>
      <c r="C138" s="13" t="s">
        <v>61</v>
      </c>
      <c r="D138" s="23">
        <v>44760</v>
      </c>
      <c r="E138" s="75"/>
      <c r="F138" s="13">
        <v>2</v>
      </c>
      <c r="G138" s="75"/>
      <c r="H138" s="75"/>
      <c r="I138" s="75"/>
      <c r="J138" s="75"/>
      <c r="K138" s="75"/>
      <c r="L138" s="75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</row>
    <row r="139" spans="1:28" x14ac:dyDescent="0.2">
      <c r="A139" s="75">
        <v>138</v>
      </c>
      <c r="B139" s="22" t="s">
        <v>231</v>
      </c>
      <c r="C139" s="13" t="s">
        <v>61</v>
      </c>
      <c r="D139" s="23">
        <v>44761</v>
      </c>
      <c r="E139" s="75"/>
      <c r="F139" s="13">
        <v>1</v>
      </c>
      <c r="G139" s="75"/>
      <c r="H139" s="75"/>
      <c r="I139" s="75"/>
      <c r="J139" s="75"/>
      <c r="K139" s="75"/>
      <c r="L139" s="75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</row>
    <row r="140" spans="1:28" x14ac:dyDescent="0.2">
      <c r="A140" s="75">
        <v>139</v>
      </c>
      <c r="B140" s="22" t="s">
        <v>234</v>
      </c>
      <c r="C140" s="13" t="s">
        <v>63</v>
      </c>
      <c r="D140" s="23">
        <v>44763</v>
      </c>
      <c r="E140" s="75"/>
      <c r="F140" s="13">
        <v>1</v>
      </c>
      <c r="G140" s="75"/>
      <c r="H140" s="75"/>
      <c r="I140" s="75"/>
      <c r="J140" s="75"/>
      <c r="K140" s="75"/>
      <c r="L140" s="75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</row>
    <row r="141" spans="1:28" x14ac:dyDescent="0.2">
      <c r="A141" s="75">
        <v>140</v>
      </c>
      <c r="B141" s="22" t="s">
        <v>50</v>
      </c>
      <c r="C141" s="13" t="s">
        <v>61</v>
      </c>
      <c r="D141" s="23">
        <v>44777</v>
      </c>
      <c r="E141" s="75"/>
      <c r="F141" s="13">
        <v>2</v>
      </c>
      <c r="G141" s="75"/>
      <c r="H141" s="75"/>
      <c r="I141" s="75"/>
      <c r="J141" s="75"/>
      <c r="K141" s="75"/>
      <c r="L141" s="75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</row>
    <row r="142" spans="1:28" x14ac:dyDescent="0.2">
      <c r="A142" s="75">
        <v>141</v>
      </c>
      <c r="B142" s="22" t="s">
        <v>46</v>
      </c>
      <c r="C142" s="13" t="s">
        <v>61</v>
      </c>
      <c r="D142" s="23">
        <v>44777</v>
      </c>
      <c r="E142" s="75"/>
      <c r="F142" s="13">
        <v>2</v>
      </c>
      <c r="G142" s="75"/>
      <c r="H142" s="75"/>
      <c r="I142" s="75"/>
      <c r="J142" s="75"/>
      <c r="K142" s="75"/>
      <c r="L142" s="75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</row>
    <row r="143" spans="1:28" x14ac:dyDescent="0.2">
      <c r="A143" s="75">
        <v>142</v>
      </c>
      <c r="B143" s="22" t="s">
        <v>237</v>
      </c>
      <c r="C143" s="13" t="s">
        <v>61</v>
      </c>
      <c r="D143" s="23">
        <v>44793</v>
      </c>
      <c r="E143" s="75"/>
      <c r="F143" s="13">
        <v>1</v>
      </c>
      <c r="G143" s="75"/>
      <c r="H143" s="75"/>
      <c r="I143" s="75"/>
      <c r="J143" s="75"/>
      <c r="K143" s="75"/>
      <c r="L143" s="75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</row>
    <row r="144" spans="1:28" x14ac:dyDescent="0.2">
      <c r="A144" s="75">
        <v>143</v>
      </c>
      <c r="B144" s="22" t="s">
        <v>239</v>
      </c>
      <c r="C144" s="13" t="s">
        <v>61</v>
      </c>
      <c r="D144" s="23">
        <v>44815</v>
      </c>
      <c r="E144" s="75"/>
      <c r="F144" s="13">
        <v>1</v>
      </c>
      <c r="G144" s="75"/>
      <c r="H144" s="75"/>
      <c r="I144" s="75"/>
      <c r="J144" s="75"/>
      <c r="K144" s="75"/>
      <c r="L144" s="75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</row>
    <row r="145" spans="1:28" x14ac:dyDescent="0.2">
      <c r="A145" s="75">
        <v>144</v>
      </c>
      <c r="B145" s="22" t="s">
        <v>240</v>
      </c>
      <c r="C145" s="13" t="s">
        <v>61</v>
      </c>
      <c r="D145" s="23">
        <v>44819</v>
      </c>
      <c r="E145" s="75"/>
      <c r="F145" s="13">
        <v>1</v>
      </c>
      <c r="G145" s="75"/>
      <c r="H145" s="75"/>
      <c r="I145" s="75"/>
      <c r="J145" s="75"/>
      <c r="K145" s="75"/>
      <c r="L145" s="75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</row>
    <row r="146" spans="1:28" x14ac:dyDescent="0.2">
      <c r="A146" s="75">
        <v>145</v>
      </c>
      <c r="B146" s="22" t="s">
        <v>241</v>
      </c>
      <c r="C146" s="13" t="s">
        <v>61</v>
      </c>
      <c r="D146" s="23">
        <v>44842</v>
      </c>
      <c r="E146" s="75"/>
      <c r="F146" s="13">
        <v>1</v>
      </c>
      <c r="G146" s="75"/>
      <c r="H146" s="75"/>
      <c r="I146" s="75"/>
      <c r="J146" s="75"/>
      <c r="K146" s="75"/>
      <c r="L146" s="75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</row>
    <row r="147" spans="1:28" x14ac:dyDescent="0.2">
      <c r="A147" s="75">
        <v>146</v>
      </c>
      <c r="B147" s="22" t="s">
        <v>243</v>
      </c>
      <c r="C147" s="13" t="s">
        <v>61</v>
      </c>
      <c r="D147" s="23">
        <v>44847</v>
      </c>
      <c r="E147" s="75"/>
      <c r="F147" s="13">
        <v>1</v>
      </c>
      <c r="G147" s="75"/>
      <c r="H147" s="75"/>
      <c r="I147" s="75"/>
      <c r="J147" s="75"/>
      <c r="K147" s="75"/>
      <c r="L147" s="75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</row>
    <row r="148" spans="1:28" x14ac:dyDescent="0.2">
      <c r="A148" s="75">
        <v>147</v>
      </c>
      <c r="B148" s="22" t="s">
        <v>246</v>
      </c>
      <c r="C148" s="13" t="s">
        <v>61</v>
      </c>
      <c r="D148" s="23">
        <v>44850</v>
      </c>
      <c r="E148" s="75"/>
      <c r="F148" s="13">
        <v>1</v>
      </c>
      <c r="G148" s="75"/>
      <c r="H148" s="75"/>
      <c r="I148" s="75"/>
      <c r="J148" s="75"/>
      <c r="K148" s="75"/>
      <c r="L148" s="75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</row>
    <row r="149" spans="1:28" x14ac:dyDescent="0.2">
      <c r="A149" s="75">
        <v>148</v>
      </c>
      <c r="B149" s="22" t="s">
        <v>247</v>
      </c>
      <c r="C149" s="13" t="s">
        <v>61</v>
      </c>
      <c r="D149" s="23">
        <v>44853</v>
      </c>
      <c r="E149" s="75"/>
      <c r="F149" s="13">
        <v>1</v>
      </c>
      <c r="G149" s="75"/>
      <c r="H149" s="75"/>
      <c r="I149" s="75"/>
      <c r="J149" s="75"/>
      <c r="K149" s="75"/>
      <c r="L149" s="75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</row>
    <row r="150" spans="1:28" x14ac:dyDescent="0.2">
      <c r="A150" s="75">
        <v>149</v>
      </c>
      <c r="B150" s="22" t="s">
        <v>250</v>
      </c>
      <c r="C150" s="13" t="s">
        <v>61</v>
      </c>
      <c r="D150" s="23">
        <v>44853</v>
      </c>
      <c r="E150" s="75"/>
      <c r="F150" s="13">
        <v>1</v>
      </c>
      <c r="G150" s="75"/>
      <c r="H150" s="75"/>
      <c r="I150" s="75"/>
      <c r="J150" s="75"/>
      <c r="K150" s="75"/>
      <c r="L150" s="75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</row>
    <row r="151" spans="1:28" x14ac:dyDescent="0.2">
      <c r="A151" s="75">
        <v>150</v>
      </c>
      <c r="B151" s="22" t="s">
        <v>251</v>
      </c>
      <c r="C151" s="13" t="s">
        <v>61</v>
      </c>
      <c r="D151" s="23">
        <v>44862</v>
      </c>
      <c r="E151" s="75"/>
      <c r="F151" s="13">
        <v>1</v>
      </c>
      <c r="G151" s="75"/>
      <c r="H151" s="75"/>
      <c r="I151" s="75"/>
      <c r="J151" s="75"/>
      <c r="K151" s="75"/>
      <c r="L151" s="75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</row>
    <row r="152" spans="1:28" x14ac:dyDescent="0.2">
      <c r="A152" s="75">
        <v>151</v>
      </c>
      <c r="B152" s="22" t="s">
        <v>252</v>
      </c>
      <c r="C152" s="13" t="s">
        <v>61</v>
      </c>
      <c r="D152" s="23">
        <v>44882</v>
      </c>
      <c r="E152" s="75"/>
      <c r="F152" s="13">
        <v>1</v>
      </c>
      <c r="G152" s="75"/>
      <c r="H152" s="75"/>
      <c r="I152" s="75"/>
      <c r="J152" s="75"/>
      <c r="K152" s="75"/>
      <c r="L152" s="75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</row>
    <row r="153" spans="1:28" x14ac:dyDescent="0.2">
      <c r="A153" s="75">
        <v>152</v>
      </c>
      <c r="B153" s="22" t="s">
        <v>253</v>
      </c>
      <c r="C153" s="13" t="s">
        <v>61</v>
      </c>
      <c r="D153" s="23">
        <v>44885</v>
      </c>
      <c r="E153" s="75"/>
      <c r="F153" s="13">
        <v>1</v>
      </c>
      <c r="G153" s="75"/>
      <c r="H153" s="75"/>
      <c r="I153" s="75"/>
      <c r="J153" s="75"/>
      <c r="K153" s="75"/>
      <c r="L153" s="75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</row>
    <row r="154" spans="1:28" x14ac:dyDescent="0.2">
      <c r="A154" s="75">
        <v>153</v>
      </c>
      <c r="B154" s="22" t="s">
        <v>41</v>
      </c>
      <c r="C154" s="13" t="s">
        <v>61</v>
      </c>
      <c r="D154" s="23">
        <v>44896</v>
      </c>
      <c r="E154" s="75"/>
      <c r="F154" s="13">
        <v>2</v>
      </c>
      <c r="G154" s="75"/>
      <c r="H154" s="75"/>
      <c r="I154" s="75"/>
      <c r="J154" s="75"/>
      <c r="K154" s="75"/>
      <c r="L154" s="75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</row>
    <row r="155" spans="1:28" x14ac:dyDescent="0.2">
      <c r="A155" s="75">
        <v>154</v>
      </c>
      <c r="B155" s="22" t="s">
        <v>256</v>
      </c>
      <c r="C155" s="13" t="s">
        <v>61</v>
      </c>
      <c r="D155" s="23">
        <v>44916</v>
      </c>
      <c r="E155" s="75"/>
      <c r="F155" s="13">
        <v>1</v>
      </c>
      <c r="G155" s="75"/>
      <c r="H155" s="75"/>
      <c r="I155" s="75"/>
      <c r="J155" s="75"/>
      <c r="K155" s="75"/>
      <c r="L155" s="75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</row>
    <row r="156" spans="1:28" x14ac:dyDescent="0.2">
      <c r="A156" s="75">
        <v>155</v>
      </c>
      <c r="B156" s="22" t="s">
        <v>257</v>
      </c>
      <c r="C156" s="13" t="s">
        <v>61</v>
      </c>
      <c r="D156" s="23">
        <v>44934</v>
      </c>
      <c r="E156" s="75"/>
      <c r="F156" s="13"/>
      <c r="G156" s="75"/>
      <c r="H156" s="75"/>
      <c r="I156" s="75"/>
      <c r="J156" s="75"/>
      <c r="K156" s="75"/>
      <c r="L156" s="75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</row>
    <row r="157" spans="1:28" x14ac:dyDescent="0.2">
      <c r="A157" s="75">
        <v>156</v>
      </c>
      <c r="B157" s="22" t="s">
        <v>260</v>
      </c>
      <c r="C157" s="13" t="s">
        <v>61</v>
      </c>
      <c r="D157" s="23">
        <v>44948</v>
      </c>
      <c r="E157" s="75"/>
      <c r="F157" s="13"/>
      <c r="G157" s="75"/>
      <c r="H157" s="75"/>
      <c r="I157" s="75"/>
      <c r="J157" s="75"/>
      <c r="K157" s="75"/>
      <c r="L157" s="75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</row>
    <row r="158" spans="1:28" x14ac:dyDescent="0.2">
      <c r="A158" s="75">
        <v>157</v>
      </c>
      <c r="B158" s="22" t="s">
        <v>263</v>
      </c>
      <c r="C158" s="13" t="s">
        <v>61</v>
      </c>
      <c r="D158" s="23">
        <v>44972</v>
      </c>
      <c r="E158" s="75"/>
      <c r="F158" s="13">
        <v>1</v>
      </c>
      <c r="G158" s="75"/>
      <c r="H158" s="75"/>
      <c r="I158" s="75"/>
      <c r="J158" s="75"/>
      <c r="K158" s="75"/>
      <c r="L158" s="75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</row>
    <row r="159" spans="1:28" x14ac:dyDescent="0.2">
      <c r="A159" s="75">
        <v>158</v>
      </c>
      <c r="B159" s="22" t="s">
        <v>265</v>
      </c>
      <c r="C159" s="13" t="s">
        <v>61</v>
      </c>
      <c r="D159" s="23">
        <v>44982</v>
      </c>
      <c r="E159" s="75"/>
      <c r="F159" s="13">
        <v>1</v>
      </c>
      <c r="G159" s="75"/>
      <c r="H159" s="75"/>
      <c r="I159" s="75"/>
      <c r="J159" s="75"/>
      <c r="K159" s="75"/>
      <c r="L159" s="75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</row>
    <row r="160" spans="1:28" x14ac:dyDescent="0.2">
      <c r="A160" s="75">
        <v>159</v>
      </c>
      <c r="B160" s="22" t="s">
        <v>268</v>
      </c>
      <c r="C160" s="13" t="s">
        <v>61</v>
      </c>
      <c r="D160" s="23">
        <v>45003</v>
      </c>
      <c r="E160" s="75"/>
      <c r="F160" s="13">
        <v>1</v>
      </c>
      <c r="G160" s="75"/>
      <c r="H160" s="75"/>
      <c r="I160" s="75"/>
      <c r="J160" s="75"/>
      <c r="K160" s="75"/>
      <c r="L160" s="75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</row>
    <row r="161" spans="1:28" x14ac:dyDescent="0.2">
      <c r="A161" s="75">
        <v>160</v>
      </c>
      <c r="B161" s="22" t="s">
        <v>269</v>
      </c>
      <c r="C161" s="13" t="s">
        <v>63</v>
      </c>
      <c r="D161" s="23">
        <v>45035</v>
      </c>
      <c r="E161" s="75"/>
      <c r="F161" s="13">
        <v>1</v>
      </c>
      <c r="G161" s="75"/>
      <c r="H161" s="75"/>
      <c r="I161" s="75"/>
      <c r="J161" s="75"/>
      <c r="K161" s="75"/>
      <c r="L161" s="75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</row>
    <row r="162" spans="1:28" x14ac:dyDescent="0.2">
      <c r="A162" s="75">
        <v>161</v>
      </c>
      <c r="B162" s="22" t="s">
        <v>272</v>
      </c>
      <c r="C162" s="13" t="s">
        <v>61</v>
      </c>
      <c r="D162" s="23">
        <v>45042</v>
      </c>
      <c r="E162" s="75"/>
      <c r="F162" s="13">
        <v>1</v>
      </c>
      <c r="G162" s="75"/>
      <c r="H162" s="75"/>
      <c r="I162" s="75"/>
      <c r="J162" s="75"/>
      <c r="K162" s="75"/>
      <c r="L162" s="75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</row>
    <row r="163" spans="1:28" x14ac:dyDescent="0.2">
      <c r="A163" s="75">
        <v>162</v>
      </c>
      <c r="B163" s="22" t="s">
        <v>275</v>
      </c>
      <c r="C163" s="13" t="s">
        <v>61</v>
      </c>
      <c r="D163" s="23">
        <v>45044</v>
      </c>
      <c r="E163" s="75"/>
      <c r="F163" s="13">
        <v>1</v>
      </c>
      <c r="G163" s="75"/>
      <c r="H163" s="75"/>
      <c r="I163" s="75"/>
      <c r="J163" s="75"/>
      <c r="K163" s="75"/>
      <c r="L163" s="75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</row>
    <row r="164" spans="1:28" x14ac:dyDescent="0.2">
      <c r="A164" s="75">
        <v>163</v>
      </c>
      <c r="B164" s="22" t="s">
        <v>277</v>
      </c>
      <c r="C164" s="13" t="s">
        <v>61</v>
      </c>
      <c r="D164" s="23">
        <v>45046</v>
      </c>
      <c r="E164" s="75"/>
      <c r="F164" s="13">
        <v>1</v>
      </c>
      <c r="G164" s="75"/>
      <c r="H164" s="75"/>
      <c r="I164" s="75"/>
      <c r="J164" s="75"/>
      <c r="K164" s="75"/>
      <c r="L164" s="75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</row>
    <row r="165" spans="1:28" x14ac:dyDescent="0.2">
      <c r="A165" s="75">
        <v>164</v>
      </c>
      <c r="B165" s="22" t="s">
        <v>280</v>
      </c>
      <c r="C165" s="13" t="s">
        <v>61</v>
      </c>
      <c r="D165" s="23">
        <v>45057</v>
      </c>
      <c r="E165" s="75"/>
      <c r="F165" s="13">
        <v>1</v>
      </c>
      <c r="G165" s="75"/>
      <c r="H165" s="75"/>
      <c r="I165" s="75"/>
      <c r="J165" s="75"/>
      <c r="K165" s="75"/>
      <c r="L165" s="75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</row>
    <row r="166" spans="1:28" x14ac:dyDescent="0.2">
      <c r="A166" s="75">
        <v>165</v>
      </c>
      <c r="B166" s="22" t="s">
        <v>281</v>
      </c>
      <c r="C166" s="13" t="s">
        <v>61</v>
      </c>
      <c r="D166" s="23">
        <v>45070</v>
      </c>
      <c r="E166" s="75"/>
      <c r="F166" s="13">
        <v>1</v>
      </c>
      <c r="G166" s="75"/>
      <c r="H166" s="75"/>
      <c r="I166" s="75"/>
      <c r="J166" s="75"/>
      <c r="K166" s="75"/>
      <c r="L166" s="75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</row>
    <row r="167" spans="1:28" x14ac:dyDescent="0.2">
      <c r="A167" s="75">
        <v>166</v>
      </c>
      <c r="B167" s="22" t="s">
        <v>282</v>
      </c>
      <c r="C167" s="13" t="s">
        <v>61</v>
      </c>
      <c r="D167" s="23">
        <v>45073</v>
      </c>
      <c r="E167" s="75"/>
      <c r="F167" s="13">
        <v>1</v>
      </c>
      <c r="G167" s="75"/>
      <c r="H167" s="75"/>
      <c r="I167" s="75"/>
      <c r="J167" s="75"/>
      <c r="K167" s="75"/>
      <c r="L167" s="75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</row>
    <row r="168" spans="1:28" x14ac:dyDescent="0.2">
      <c r="A168" s="75">
        <v>167</v>
      </c>
      <c r="B168" s="22" t="s">
        <v>284</v>
      </c>
      <c r="C168" s="13" t="s">
        <v>61</v>
      </c>
      <c r="D168" s="23">
        <v>45077</v>
      </c>
      <c r="E168" s="75"/>
      <c r="F168" s="13">
        <v>1</v>
      </c>
      <c r="G168" s="75"/>
      <c r="H168" s="75"/>
      <c r="I168" s="75"/>
      <c r="J168" s="75"/>
      <c r="K168" s="75"/>
      <c r="L168" s="75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</row>
    <row r="169" spans="1:28" x14ac:dyDescent="0.2">
      <c r="A169" s="75">
        <v>168</v>
      </c>
      <c r="B169" s="22" t="s">
        <v>285</v>
      </c>
      <c r="C169" s="13" t="s">
        <v>61</v>
      </c>
      <c r="D169" s="23">
        <v>45079</v>
      </c>
      <c r="E169" s="75"/>
      <c r="F169" s="13">
        <v>1</v>
      </c>
      <c r="G169" s="75"/>
      <c r="H169" s="75"/>
      <c r="I169" s="75"/>
      <c r="J169" s="75"/>
      <c r="K169" s="75"/>
      <c r="L169" s="75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</row>
    <row r="170" spans="1:28" x14ac:dyDescent="0.2">
      <c r="A170" s="75">
        <v>169</v>
      </c>
      <c r="B170" s="22" t="s">
        <v>286</v>
      </c>
      <c r="C170" s="13" t="s">
        <v>61</v>
      </c>
      <c r="D170" s="23">
        <v>45089</v>
      </c>
      <c r="E170" s="75"/>
      <c r="F170" s="13"/>
      <c r="G170" s="75"/>
      <c r="H170" s="75"/>
      <c r="I170" s="75"/>
      <c r="J170" s="75"/>
      <c r="K170" s="75"/>
      <c r="L170" s="75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</row>
    <row r="171" spans="1:28" x14ac:dyDescent="0.2">
      <c r="A171" s="75">
        <v>170</v>
      </c>
      <c r="B171" s="22" t="s">
        <v>287</v>
      </c>
      <c r="C171" s="13" t="s">
        <v>18</v>
      </c>
      <c r="D171" s="23">
        <v>45109</v>
      </c>
      <c r="E171" s="75"/>
      <c r="F171" s="13">
        <v>1</v>
      </c>
      <c r="G171" s="75"/>
      <c r="H171" s="75"/>
      <c r="I171" s="75"/>
      <c r="J171" s="75"/>
      <c r="K171" s="75"/>
      <c r="L171" s="75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</row>
    <row r="172" spans="1:28" x14ac:dyDescent="0.2">
      <c r="A172" s="75">
        <v>171</v>
      </c>
      <c r="B172" s="22" t="s">
        <v>288</v>
      </c>
      <c r="C172" s="13" t="s">
        <v>63</v>
      </c>
      <c r="D172" s="23">
        <v>45115</v>
      </c>
      <c r="E172" s="75"/>
      <c r="F172" s="13">
        <v>1</v>
      </c>
      <c r="G172" s="75"/>
      <c r="H172" s="75"/>
      <c r="I172" s="75"/>
      <c r="J172" s="75"/>
      <c r="K172" s="75"/>
      <c r="L172" s="75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</row>
    <row r="173" spans="1:28" x14ac:dyDescent="0.2">
      <c r="A173" s="75">
        <v>172</v>
      </c>
      <c r="B173" s="22" t="s">
        <v>289</v>
      </c>
      <c r="C173" s="13" t="s">
        <v>18</v>
      </c>
      <c r="D173" s="23">
        <v>45123</v>
      </c>
      <c r="E173" s="75"/>
      <c r="F173" s="13">
        <v>1</v>
      </c>
      <c r="G173" s="75"/>
      <c r="H173" s="75"/>
      <c r="I173" s="75"/>
      <c r="J173" s="75"/>
      <c r="K173" s="75"/>
      <c r="L173" s="75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</row>
    <row r="174" spans="1:28" x14ac:dyDescent="0.2">
      <c r="A174" s="75">
        <v>173</v>
      </c>
      <c r="B174" s="22" t="s">
        <v>291</v>
      </c>
      <c r="C174" s="13" t="s">
        <v>18</v>
      </c>
      <c r="D174" s="23">
        <v>45129</v>
      </c>
      <c r="E174" s="75"/>
      <c r="F174" s="13">
        <v>1</v>
      </c>
      <c r="G174" s="75"/>
      <c r="H174" s="75"/>
      <c r="I174" s="75"/>
      <c r="J174" s="75"/>
      <c r="K174" s="75"/>
      <c r="L174" s="75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</row>
    <row r="175" spans="1:28" x14ac:dyDescent="0.2">
      <c r="A175" s="75">
        <v>174</v>
      </c>
      <c r="B175" s="22" t="s">
        <v>292</v>
      </c>
      <c r="C175" s="13" t="s">
        <v>18</v>
      </c>
      <c r="D175" s="23">
        <v>45131</v>
      </c>
      <c r="E175" s="75"/>
      <c r="F175" s="13">
        <v>1</v>
      </c>
      <c r="G175" s="75"/>
      <c r="H175" s="75"/>
      <c r="I175" s="75"/>
      <c r="J175" s="75"/>
      <c r="K175" s="75"/>
      <c r="L175" s="75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</row>
    <row r="176" spans="1:28" x14ac:dyDescent="0.2">
      <c r="A176" s="75">
        <v>175</v>
      </c>
      <c r="B176" s="22" t="s">
        <v>293</v>
      </c>
      <c r="C176" s="13" t="s">
        <v>61</v>
      </c>
      <c r="D176" s="23">
        <v>45133</v>
      </c>
      <c r="E176" s="75"/>
      <c r="F176" s="13">
        <v>1</v>
      </c>
      <c r="G176" s="75"/>
      <c r="H176" s="75"/>
      <c r="I176" s="75"/>
      <c r="J176" s="75"/>
      <c r="K176" s="75"/>
      <c r="L176" s="75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</row>
    <row r="177" spans="1:28" x14ac:dyDescent="0.2">
      <c r="A177" s="75">
        <v>176</v>
      </c>
      <c r="B177" s="22" t="s">
        <v>294</v>
      </c>
      <c r="C177" s="13" t="s">
        <v>18</v>
      </c>
      <c r="D177" s="23">
        <v>45135</v>
      </c>
      <c r="E177" s="75"/>
      <c r="F177" s="13">
        <v>1</v>
      </c>
      <c r="G177" s="75"/>
      <c r="H177" s="75"/>
      <c r="I177" s="75"/>
      <c r="J177" s="75"/>
      <c r="K177" s="75"/>
      <c r="L177" s="75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</row>
    <row r="178" spans="1:28" x14ac:dyDescent="0.2">
      <c r="A178" s="75">
        <v>177</v>
      </c>
      <c r="B178" s="22" t="s">
        <v>296</v>
      </c>
      <c r="C178" s="13" t="s">
        <v>18</v>
      </c>
      <c r="D178" s="23">
        <v>45142</v>
      </c>
      <c r="E178" s="75"/>
      <c r="F178" s="13">
        <v>1</v>
      </c>
      <c r="G178" s="75"/>
      <c r="H178" s="75"/>
      <c r="I178" s="75"/>
      <c r="J178" s="75"/>
      <c r="K178" s="75"/>
      <c r="L178" s="75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</row>
    <row r="179" spans="1:28" x14ac:dyDescent="0.2">
      <c r="A179" s="75">
        <v>178</v>
      </c>
      <c r="B179" s="22" t="s">
        <v>297</v>
      </c>
      <c r="C179" s="13" t="s">
        <v>18</v>
      </c>
      <c r="D179" s="23">
        <v>45144</v>
      </c>
      <c r="E179" s="75"/>
      <c r="F179" s="13">
        <v>1</v>
      </c>
      <c r="G179" s="75"/>
      <c r="H179" s="75"/>
      <c r="I179" s="75"/>
      <c r="J179" s="75"/>
      <c r="K179" s="75"/>
      <c r="L179" s="75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</row>
    <row r="180" spans="1:28" x14ac:dyDescent="0.2">
      <c r="A180" s="75">
        <v>179</v>
      </c>
      <c r="B180" s="22" t="s">
        <v>298</v>
      </c>
      <c r="C180" s="13" t="s">
        <v>18</v>
      </c>
      <c r="D180" s="23">
        <v>45146</v>
      </c>
      <c r="E180" s="75"/>
      <c r="F180" s="13">
        <v>1</v>
      </c>
      <c r="G180" s="75"/>
      <c r="H180" s="75"/>
      <c r="I180" s="75"/>
      <c r="J180" s="75"/>
      <c r="K180" s="75"/>
      <c r="L180" s="75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</row>
    <row r="181" spans="1:28" x14ac:dyDescent="0.2">
      <c r="A181" s="75">
        <v>180</v>
      </c>
      <c r="B181" s="22" t="s">
        <v>300</v>
      </c>
      <c r="C181" s="13" t="s">
        <v>18</v>
      </c>
      <c r="D181" s="23">
        <v>45155</v>
      </c>
      <c r="E181" s="75"/>
      <c r="F181" s="13">
        <v>1</v>
      </c>
      <c r="G181" s="75"/>
      <c r="H181" s="75"/>
      <c r="I181" s="75"/>
      <c r="J181" s="75"/>
      <c r="K181" s="75"/>
      <c r="L181" s="75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</row>
    <row r="182" spans="1:28" x14ac:dyDescent="0.2">
      <c r="A182" s="75">
        <v>181</v>
      </c>
      <c r="B182" s="22" t="s">
        <v>301</v>
      </c>
      <c r="C182" s="13" t="s">
        <v>18</v>
      </c>
      <c r="D182" s="23">
        <v>45180</v>
      </c>
      <c r="E182" s="75"/>
      <c r="F182" s="13">
        <v>1</v>
      </c>
      <c r="G182" s="75"/>
      <c r="H182" s="75"/>
      <c r="I182" s="75"/>
      <c r="J182" s="75"/>
      <c r="K182" s="75"/>
      <c r="L182" s="75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</row>
    <row r="183" spans="1:28" x14ac:dyDescent="0.2">
      <c r="A183" s="75">
        <v>182</v>
      </c>
      <c r="B183" s="22" t="s">
        <v>302</v>
      </c>
      <c r="C183" s="13" t="s">
        <v>18</v>
      </c>
      <c r="D183" s="23">
        <v>45184</v>
      </c>
      <c r="E183" s="75"/>
      <c r="F183" s="13">
        <v>1</v>
      </c>
      <c r="G183" s="75"/>
      <c r="H183" s="75"/>
      <c r="I183" s="75"/>
      <c r="J183" s="75"/>
      <c r="K183" s="75"/>
      <c r="L183" s="75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</row>
    <row r="184" spans="1:28" x14ac:dyDescent="0.2">
      <c r="A184" s="75">
        <v>183</v>
      </c>
      <c r="B184" s="22" t="s">
        <v>304</v>
      </c>
      <c r="C184" s="13" t="s">
        <v>18</v>
      </c>
      <c r="D184" s="23">
        <v>45194</v>
      </c>
      <c r="E184" s="75"/>
      <c r="F184" s="13">
        <v>1</v>
      </c>
      <c r="G184" s="75"/>
      <c r="H184" s="75"/>
      <c r="I184" s="75"/>
      <c r="J184" s="75"/>
      <c r="K184" s="75"/>
      <c r="L184" s="75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</row>
    <row r="185" spans="1:28" x14ac:dyDescent="0.2">
      <c r="A185" s="75">
        <v>184</v>
      </c>
      <c r="B185" s="22" t="s">
        <v>305</v>
      </c>
      <c r="C185" s="13" t="s">
        <v>18</v>
      </c>
      <c r="D185" s="23">
        <v>45205</v>
      </c>
      <c r="E185" s="75"/>
      <c r="F185" s="13">
        <v>1</v>
      </c>
      <c r="G185" s="75"/>
      <c r="H185" s="75"/>
      <c r="I185" s="75"/>
      <c r="J185" s="75"/>
      <c r="K185" s="75"/>
      <c r="L185" s="75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</row>
    <row r="186" spans="1:28" x14ac:dyDescent="0.2">
      <c r="A186" s="75">
        <v>185</v>
      </c>
      <c r="B186" s="22" t="s">
        <v>307</v>
      </c>
      <c r="C186" s="13" t="s">
        <v>18</v>
      </c>
      <c r="D186" s="23">
        <v>45206</v>
      </c>
      <c r="E186" s="75"/>
      <c r="F186" s="13">
        <v>1</v>
      </c>
      <c r="G186" s="75"/>
      <c r="H186" s="75"/>
      <c r="I186" s="75"/>
      <c r="J186" s="75"/>
      <c r="K186" s="75"/>
      <c r="L186" s="75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</row>
    <row r="187" spans="1:28" x14ac:dyDescent="0.2">
      <c r="A187" s="75">
        <v>186</v>
      </c>
      <c r="B187" s="22" t="s">
        <v>308</v>
      </c>
      <c r="C187" s="13" t="s">
        <v>63</v>
      </c>
      <c r="D187" s="23">
        <v>45207</v>
      </c>
      <c r="E187" s="75"/>
      <c r="F187" s="13">
        <v>1</v>
      </c>
      <c r="G187" s="75"/>
      <c r="H187" s="75"/>
      <c r="I187" s="75"/>
      <c r="J187" s="75"/>
      <c r="K187" s="75"/>
      <c r="L187" s="75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</row>
    <row r="188" spans="1:28" x14ac:dyDescent="0.2">
      <c r="A188" s="75">
        <v>187</v>
      </c>
      <c r="B188" s="22" t="s">
        <v>310</v>
      </c>
      <c r="C188" s="13" t="s">
        <v>18</v>
      </c>
      <c r="D188" s="23">
        <v>45208</v>
      </c>
      <c r="E188" s="75"/>
      <c r="F188" s="13">
        <v>1</v>
      </c>
      <c r="G188" s="75"/>
      <c r="H188" s="75"/>
      <c r="I188" s="75"/>
      <c r="J188" s="75"/>
      <c r="K188" s="75"/>
      <c r="L188" s="75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</row>
    <row r="189" spans="1:28" x14ac:dyDescent="0.2">
      <c r="A189" s="75">
        <v>188</v>
      </c>
      <c r="B189" s="22" t="s">
        <v>312</v>
      </c>
      <c r="C189" s="13" t="s">
        <v>18</v>
      </c>
      <c r="D189" s="23">
        <v>45209</v>
      </c>
      <c r="E189" s="75"/>
      <c r="F189" s="13">
        <v>1</v>
      </c>
      <c r="G189" s="75"/>
      <c r="H189" s="75"/>
      <c r="I189" s="75"/>
      <c r="J189" s="75"/>
      <c r="K189" s="75"/>
      <c r="L189" s="75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</row>
    <row r="190" spans="1:28" x14ac:dyDescent="0.2">
      <c r="A190" s="75">
        <v>189</v>
      </c>
      <c r="B190" s="22" t="s">
        <v>313</v>
      </c>
      <c r="C190" s="13" t="s">
        <v>18</v>
      </c>
      <c r="D190" s="23">
        <v>45217</v>
      </c>
      <c r="E190" s="75"/>
      <c r="F190" s="13">
        <v>1</v>
      </c>
      <c r="G190" s="75"/>
      <c r="H190" s="75"/>
      <c r="I190" s="75"/>
      <c r="J190" s="75"/>
      <c r="K190" s="75"/>
      <c r="L190" s="75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</row>
    <row r="191" spans="1:28" x14ac:dyDescent="0.2">
      <c r="A191" s="75">
        <v>190</v>
      </c>
      <c r="B191" s="22" t="s">
        <v>315</v>
      </c>
      <c r="C191" s="13" t="s">
        <v>18</v>
      </c>
      <c r="D191" s="23">
        <v>45217</v>
      </c>
      <c r="E191" s="75"/>
      <c r="F191" s="13">
        <v>1</v>
      </c>
      <c r="G191" s="75"/>
      <c r="H191" s="75"/>
      <c r="I191" s="75"/>
      <c r="J191" s="75"/>
      <c r="K191" s="75"/>
      <c r="L191" s="75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</row>
    <row r="192" spans="1:28" x14ac:dyDescent="0.2">
      <c r="A192" s="75">
        <v>191</v>
      </c>
      <c r="B192" s="22" t="s">
        <v>316</v>
      </c>
      <c r="C192" s="13" t="s">
        <v>18</v>
      </c>
      <c r="D192" s="23">
        <v>45226</v>
      </c>
      <c r="E192" s="75"/>
      <c r="F192" s="13">
        <v>1</v>
      </c>
      <c r="G192" s="75"/>
      <c r="H192" s="75"/>
      <c r="I192" s="75"/>
      <c r="J192" s="75"/>
      <c r="K192" s="75"/>
      <c r="L192" s="75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</row>
    <row r="193" spans="1:28" x14ac:dyDescent="0.2">
      <c r="A193" s="75">
        <v>192</v>
      </c>
      <c r="B193" s="22" t="s">
        <v>317</v>
      </c>
      <c r="C193" s="13" t="s">
        <v>18</v>
      </c>
      <c r="D193" s="23">
        <v>45234</v>
      </c>
      <c r="E193" s="75"/>
      <c r="F193" s="13">
        <v>1</v>
      </c>
      <c r="G193" s="75"/>
      <c r="H193" s="75"/>
      <c r="I193" s="75"/>
      <c r="J193" s="75"/>
      <c r="K193" s="75"/>
      <c r="L193" s="75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</row>
    <row r="194" spans="1:28" x14ac:dyDescent="0.2">
      <c r="A194" s="75">
        <v>193</v>
      </c>
      <c r="B194" s="22" t="s">
        <v>319</v>
      </c>
      <c r="C194" s="13" t="s">
        <v>63</v>
      </c>
      <c r="D194" s="23">
        <v>45236</v>
      </c>
      <c r="E194" s="75"/>
      <c r="F194" s="13">
        <v>1</v>
      </c>
      <c r="G194" s="75"/>
      <c r="H194" s="75"/>
      <c r="I194" s="75"/>
      <c r="J194" s="75"/>
      <c r="K194" s="75"/>
      <c r="L194" s="75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</row>
    <row r="195" spans="1:28" x14ac:dyDescent="0.2">
      <c r="A195" s="75">
        <v>194</v>
      </c>
      <c r="B195" s="22" t="s">
        <v>320</v>
      </c>
      <c r="C195" s="13" t="s">
        <v>18</v>
      </c>
      <c r="D195" s="23">
        <v>45237</v>
      </c>
      <c r="E195" s="75"/>
      <c r="F195" s="13">
        <v>1</v>
      </c>
      <c r="G195" s="75"/>
      <c r="H195" s="75"/>
      <c r="I195" s="75"/>
      <c r="J195" s="75"/>
      <c r="K195" s="75"/>
      <c r="L195" s="75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</row>
    <row r="196" spans="1:28" x14ac:dyDescent="0.2">
      <c r="A196" s="75">
        <v>195</v>
      </c>
      <c r="B196" s="22" t="s">
        <v>321</v>
      </c>
      <c r="C196" s="13" t="s">
        <v>63</v>
      </c>
      <c r="D196" s="23">
        <v>45238</v>
      </c>
      <c r="E196" s="75"/>
      <c r="F196" s="13">
        <v>1</v>
      </c>
      <c r="G196" s="75"/>
      <c r="H196" s="75"/>
      <c r="I196" s="75"/>
      <c r="J196" s="75"/>
      <c r="K196" s="75"/>
      <c r="L196" s="75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</row>
    <row r="197" spans="1:28" x14ac:dyDescent="0.2">
      <c r="A197" s="75">
        <v>196</v>
      </c>
      <c r="B197" s="22" t="s">
        <v>323</v>
      </c>
      <c r="C197" s="13" t="s">
        <v>18</v>
      </c>
      <c r="D197" s="23">
        <v>45245</v>
      </c>
      <c r="E197" s="75"/>
      <c r="F197" s="13">
        <v>1</v>
      </c>
      <c r="G197" s="75"/>
      <c r="H197" s="75"/>
      <c r="I197" s="75"/>
      <c r="J197" s="75"/>
      <c r="K197" s="75"/>
      <c r="L197" s="75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</row>
    <row r="198" spans="1:28" x14ac:dyDescent="0.2">
      <c r="A198" s="75">
        <v>197</v>
      </c>
      <c r="B198" s="22" t="s">
        <v>324</v>
      </c>
      <c r="C198" s="13" t="s">
        <v>18</v>
      </c>
      <c r="D198" s="23">
        <v>45246</v>
      </c>
      <c r="E198" s="75"/>
      <c r="F198" s="13"/>
      <c r="G198" s="75"/>
      <c r="H198" s="75"/>
      <c r="I198" s="75"/>
      <c r="J198" s="75"/>
      <c r="K198" s="75"/>
      <c r="L198" s="75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</row>
    <row r="199" spans="1:28" x14ac:dyDescent="0.2">
      <c r="A199" s="75">
        <v>198</v>
      </c>
      <c r="B199" s="22" t="s">
        <v>325</v>
      </c>
      <c r="C199" s="13" t="s">
        <v>18</v>
      </c>
      <c r="D199" s="23">
        <v>45249</v>
      </c>
      <c r="E199" s="75"/>
      <c r="F199" s="13"/>
      <c r="G199" s="75"/>
      <c r="H199" s="75"/>
      <c r="I199" s="75"/>
      <c r="J199" s="75"/>
      <c r="K199" s="75"/>
      <c r="L199" s="75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</row>
    <row r="200" spans="1:28" x14ac:dyDescent="0.2">
      <c r="A200" s="75">
        <v>199</v>
      </c>
      <c r="B200" s="22" t="s">
        <v>326</v>
      </c>
      <c r="C200" s="13" t="s">
        <v>18</v>
      </c>
      <c r="D200" s="23">
        <v>45250</v>
      </c>
      <c r="E200" s="75"/>
      <c r="F200" s="13">
        <v>1</v>
      </c>
      <c r="G200" s="75"/>
      <c r="H200" s="75"/>
      <c r="I200" s="75"/>
      <c r="J200" s="75"/>
      <c r="K200" s="75"/>
      <c r="L200" s="75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</row>
    <row r="201" spans="1:28" x14ac:dyDescent="0.2">
      <c r="A201" s="75">
        <v>200</v>
      </c>
      <c r="B201" s="22" t="s">
        <v>328</v>
      </c>
      <c r="C201" s="13" t="s">
        <v>18</v>
      </c>
      <c r="D201" s="23">
        <v>45254</v>
      </c>
      <c r="E201" s="75"/>
      <c r="F201" s="13"/>
      <c r="G201" s="75"/>
      <c r="H201" s="75"/>
      <c r="I201" s="75"/>
      <c r="J201" s="75"/>
      <c r="K201" s="75"/>
      <c r="L201" s="75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</row>
    <row r="202" spans="1:28" x14ac:dyDescent="0.2">
      <c r="A202" s="75">
        <v>201</v>
      </c>
      <c r="B202" s="22" t="s">
        <v>329</v>
      </c>
      <c r="C202" s="13" t="s">
        <v>18</v>
      </c>
      <c r="D202" s="23">
        <v>45263</v>
      </c>
      <c r="E202" s="75"/>
      <c r="F202" s="13">
        <v>1</v>
      </c>
      <c r="G202" s="75"/>
      <c r="H202" s="75"/>
      <c r="I202" s="75"/>
      <c r="J202" s="75"/>
      <c r="K202" s="75"/>
      <c r="L202" s="75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</row>
    <row r="203" spans="1:28" x14ac:dyDescent="0.2">
      <c r="A203" s="75">
        <v>202</v>
      </c>
      <c r="B203" s="22" t="s">
        <v>330</v>
      </c>
      <c r="C203" s="13" t="s">
        <v>18</v>
      </c>
      <c r="D203" s="23">
        <v>45269</v>
      </c>
      <c r="E203" s="75"/>
      <c r="F203" s="13">
        <v>1</v>
      </c>
      <c r="G203" s="75"/>
      <c r="H203" s="75"/>
      <c r="I203" s="75"/>
      <c r="J203" s="75"/>
      <c r="K203" s="75"/>
      <c r="L203" s="75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</row>
    <row r="204" spans="1:28" x14ac:dyDescent="0.2">
      <c r="A204" s="75">
        <v>203</v>
      </c>
      <c r="B204" s="22" t="s">
        <v>331</v>
      </c>
      <c r="C204" s="13" t="s">
        <v>18</v>
      </c>
      <c r="D204" s="23">
        <v>45270</v>
      </c>
      <c r="E204" s="75"/>
      <c r="F204" s="13">
        <v>1</v>
      </c>
      <c r="G204" s="75"/>
      <c r="H204" s="75"/>
      <c r="I204" s="75"/>
      <c r="J204" s="75"/>
      <c r="K204" s="75"/>
      <c r="L204" s="75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</row>
    <row r="205" spans="1:28" x14ac:dyDescent="0.2">
      <c r="A205" s="75">
        <v>204</v>
      </c>
      <c r="B205" s="22" t="s">
        <v>332</v>
      </c>
      <c r="C205" s="13" t="s">
        <v>18</v>
      </c>
      <c r="D205" s="23">
        <v>45279</v>
      </c>
      <c r="E205" s="75"/>
      <c r="F205" s="13">
        <v>1</v>
      </c>
      <c r="G205" s="75"/>
      <c r="H205" s="75"/>
      <c r="I205" s="75"/>
      <c r="J205" s="75"/>
      <c r="K205" s="75"/>
      <c r="L205" s="75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</row>
    <row r="206" spans="1:28" x14ac:dyDescent="0.2">
      <c r="A206" s="75">
        <v>205</v>
      </c>
      <c r="B206" s="22" t="s">
        <v>333</v>
      </c>
      <c r="C206" s="13" t="s">
        <v>18</v>
      </c>
      <c r="D206" s="23">
        <v>45291</v>
      </c>
      <c r="E206" s="75"/>
      <c r="F206" s="13">
        <v>1</v>
      </c>
      <c r="G206" s="75"/>
      <c r="H206" s="75"/>
      <c r="I206" s="75"/>
      <c r="J206" s="75"/>
      <c r="K206" s="75"/>
      <c r="L206" s="75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</row>
    <row r="207" spans="1:28" x14ac:dyDescent="0.2">
      <c r="A207" s="75">
        <v>206</v>
      </c>
      <c r="B207" s="22" t="s">
        <v>334</v>
      </c>
      <c r="C207" s="13" t="s">
        <v>18</v>
      </c>
      <c r="D207" s="23">
        <v>45305</v>
      </c>
      <c r="E207" s="75"/>
      <c r="F207" s="13">
        <v>1</v>
      </c>
      <c r="G207" s="75"/>
      <c r="H207" s="75"/>
      <c r="I207" s="75"/>
      <c r="J207" s="75"/>
      <c r="K207" s="75"/>
      <c r="L207" s="75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</row>
    <row r="208" spans="1:28" x14ac:dyDescent="0.2">
      <c r="A208" s="75">
        <v>207</v>
      </c>
      <c r="B208" s="22" t="s">
        <v>335</v>
      </c>
      <c r="C208" s="13" t="s">
        <v>18</v>
      </c>
      <c r="D208" s="23">
        <v>45313</v>
      </c>
      <c r="E208" s="75"/>
      <c r="F208" s="13">
        <v>1</v>
      </c>
      <c r="G208" s="75"/>
      <c r="H208" s="75"/>
      <c r="I208" s="75"/>
      <c r="J208" s="75"/>
      <c r="K208" s="75"/>
      <c r="L208" s="75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</row>
    <row r="209" spans="1:28" x14ac:dyDescent="0.2">
      <c r="A209" s="75">
        <v>208</v>
      </c>
      <c r="B209" s="22" t="s">
        <v>336</v>
      </c>
      <c r="C209" s="13" t="s">
        <v>18</v>
      </c>
      <c r="D209" s="23">
        <v>45313</v>
      </c>
      <c r="E209" s="75"/>
      <c r="F209" s="13">
        <v>1</v>
      </c>
      <c r="G209" s="75"/>
      <c r="H209" s="75"/>
      <c r="I209" s="75"/>
      <c r="J209" s="75"/>
      <c r="K209" s="75"/>
      <c r="L209" s="75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</row>
    <row r="210" spans="1:28" x14ac:dyDescent="0.2">
      <c r="A210" s="75">
        <v>209</v>
      </c>
      <c r="B210" s="22" t="s">
        <v>337</v>
      </c>
      <c r="C210" s="13" t="s">
        <v>18</v>
      </c>
      <c r="D210" s="23">
        <v>45337</v>
      </c>
      <c r="E210" s="75"/>
      <c r="F210" s="13">
        <v>1</v>
      </c>
      <c r="G210" s="75"/>
      <c r="H210" s="75"/>
      <c r="I210" s="75"/>
      <c r="J210" s="75"/>
      <c r="K210" s="75"/>
      <c r="L210" s="75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</row>
    <row r="211" spans="1:28" x14ac:dyDescent="0.2">
      <c r="A211" s="75">
        <v>210</v>
      </c>
      <c r="B211" s="22" t="s">
        <v>338</v>
      </c>
      <c r="C211" s="13" t="s">
        <v>18</v>
      </c>
      <c r="D211" s="23">
        <v>45347</v>
      </c>
      <c r="E211" s="75"/>
      <c r="F211" s="13"/>
      <c r="G211" s="75"/>
      <c r="H211" s="75"/>
      <c r="I211" s="75"/>
      <c r="J211" s="75"/>
      <c r="K211" s="75"/>
      <c r="L211" s="75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</row>
    <row r="212" spans="1:28" x14ac:dyDescent="0.2">
      <c r="A212" s="75">
        <v>211</v>
      </c>
      <c r="B212" s="22" t="s">
        <v>339</v>
      </c>
      <c r="C212" s="13" t="s">
        <v>18</v>
      </c>
      <c r="D212" s="23">
        <v>45349</v>
      </c>
      <c r="E212" s="75"/>
      <c r="F212" s="13"/>
      <c r="G212" s="75"/>
      <c r="H212" s="75"/>
      <c r="I212" s="75"/>
      <c r="J212" s="75"/>
      <c r="K212" s="75"/>
      <c r="L212" s="75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</row>
    <row r="213" spans="1:28" x14ac:dyDescent="0.2">
      <c r="A213" s="75">
        <v>212</v>
      </c>
      <c r="B213" s="22" t="s">
        <v>341</v>
      </c>
      <c r="C213" s="13" t="s">
        <v>18</v>
      </c>
      <c r="D213" s="23">
        <v>45372</v>
      </c>
      <c r="E213" s="75"/>
      <c r="F213" s="13"/>
      <c r="G213" s="75"/>
      <c r="H213" s="75"/>
      <c r="I213" s="75"/>
      <c r="J213" s="75"/>
      <c r="K213" s="75"/>
      <c r="L213" s="75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</row>
    <row r="214" spans="1:28" x14ac:dyDescent="0.2">
      <c r="A214" s="75">
        <v>213</v>
      </c>
      <c r="B214" s="22" t="s">
        <v>342</v>
      </c>
      <c r="C214" s="13" t="s">
        <v>18</v>
      </c>
      <c r="D214" s="23">
        <v>45502</v>
      </c>
      <c r="E214" s="75"/>
      <c r="F214" s="13"/>
      <c r="G214" s="75"/>
      <c r="H214" s="75"/>
      <c r="I214" s="75"/>
      <c r="J214" s="75"/>
      <c r="K214" s="75"/>
      <c r="L214" s="75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</row>
    <row r="215" spans="1:28" x14ac:dyDescent="0.2">
      <c r="A215" s="75">
        <v>214</v>
      </c>
      <c r="B215" s="22" t="s">
        <v>344</v>
      </c>
      <c r="C215" s="13" t="s">
        <v>18</v>
      </c>
      <c r="D215" s="23">
        <v>45417</v>
      </c>
      <c r="E215" s="75"/>
      <c r="F215" s="13">
        <v>1</v>
      </c>
      <c r="G215" s="75"/>
      <c r="H215" s="75"/>
      <c r="I215" s="75"/>
      <c r="J215" s="75"/>
      <c r="K215" s="75"/>
      <c r="L215" s="75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</row>
    <row r="216" spans="1:28" x14ac:dyDescent="0.2">
      <c r="A216" s="75">
        <v>215</v>
      </c>
      <c r="B216" s="22" t="s">
        <v>39</v>
      </c>
      <c r="C216" s="13" t="s">
        <v>18</v>
      </c>
      <c r="D216" s="23">
        <v>45419</v>
      </c>
      <c r="E216" s="75"/>
      <c r="F216" s="13">
        <v>1</v>
      </c>
      <c r="G216" s="75"/>
      <c r="H216" s="75"/>
      <c r="I216" s="75"/>
      <c r="J216" s="75"/>
      <c r="K216" s="75"/>
      <c r="L216" s="75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</row>
    <row r="217" spans="1:28" x14ac:dyDescent="0.2">
      <c r="A217" s="75">
        <v>216</v>
      </c>
      <c r="B217" s="22" t="s">
        <v>347</v>
      </c>
      <c r="C217" s="13" t="s">
        <v>18</v>
      </c>
      <c r="D217" s="23">
        <v>45467</v>
      </c>
      <c r="E217" s="75"/>
      <c r="F217" s="13"/>
      <c r="G217" s="75"/>
      <c r="H217" s="75"/>
      <c r="I217" s="75"/>
      <c r="J217" s="75"/>
      <c r="K217" s="75"/>
      <c r="L217" s="75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</row>
    <row r="218" spans="1:28" x14ac:dyDescent="0.2">
      <c r="A218" s="75">
        <v>217</v>
      </c>
      <c r="B218" s="22" t="s">
        <v>348</v>
      </c>
      <c r="C218" s="13" t="s">
        <v>18</v>
      </c>
      <c r="D218" s="23">
        <v>45473</v>
      </c>
      <c r="E218" s="75"/>
      <c r="F218" s="13">
        <v>1</v>
      </c>
      <c r="G218" s="75"/>
      <c r="H218" s="75"/>
      <c r="I218" s="75"/>
      <c r="J218" s="75"/>
      <c r="K218" s="75"/>
      <c r="L218" s="75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</row>
    <row r="219" spans="1:28" x14ac:dyDescent="0.2">
      <c r="A219" s="75">
        <v>218</v>
      </c>
      <c r="B219" s="22" t="s">
        <v>350</v>
      </c>
      <c r="C219" s="13" t="s">
        <v>18</v>
      </c>
      <c r="D219" s="23">
        <v>45484</v>
      </c>
      <c r="E219" s="75"/>
      <c r="F219" s="13"/>
      <c r="G219" s="75"/>
      <c r="H219" s="75"/>
      <c r="I219" s="75"/>
      <c r="J219" s="75"/>
      <c r="K219" s="75"/>
      <c r="L219" s="75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</row>
    <row r="220" spans="1:28" x14ac:dyDescent="0.2">
      <c r="A220" s="75">
        <v>219</v>
      </c>
      <c r="B220" s="22" t="s">
        <v>351</v>
      </c>
      <c r="C220" s="13" t="s">
        <v>18</v>
      </c>
      <c r="D220" s="23">
        <v>45496</v>
      </c>
      <c r="E220" s="75"/>
      <c r="F220" s="13"/>
      <c r="G220" s="75"/>
      <c r="H220" s="75"/>
      <c r="I220" s="75"/>
      <c r="J220" s="75"/>
      <c r="K220" s="75"/>
      <c r="L220" s="75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</row>
    <row r="221" spans="1:28" x14ac:dyDescent="0.2">
      <c r="A221" s="75">
        <v>220</v>
      </c>
      <c r="B221" s="22" t="s">
        <v>31</v>
      </c>
      <c r="C221" s="13" t="s">
        <v>18</v>
      </c>
      <c r="D221" s="23">
        <v>45501</v>
      </c>
      <c r="E221" s="75"/>
      <c r="F221" s="13">
        <v>1</v>
      </c>
      <c r="G221" s="75"/>
      <c r="H221" s="75"/>
      <c r="I221" s="75"/>
      <c r="J221" s="75"/>
      <c r="K221" s="75"/>
      <c r="L221" s="75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</row>
    <row r="222" spans="1:28" x14ac:dyDescent="0.2">
      <c r="A222" s="75">
        <v>221</v>
      </c>
      <c r="B222" s="22" t="s">
        <v>354</v>
      </c>
      <c r="C222" s="13" t="s">
        <v>18</v>
      </c>
      <c r="D222" s="23">
        <v>45501</v>
      </c>
      <c r="E222" s="75"/>
      <c r="F222" s="13"/>
      <c r="G222" s="75"/>
      <c r="H222" s="75"/>
      <c r="I222" s="75"/>
      <c r="J222" s="75"/>
      <c r="K222" s="75"/>
      <c r="L222" s="75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</row>
    <row r="223" spans="1:28" x14ac:dyDescent="0.2">
      <c r="A223" s="75">
        <v>222</v>
      </c>
      <c r="B223" s="22" t="s">
        <v>11</v>
      </c>
      <c r="C223" s="13" t="s">
        <v>18</v>
      </c>
      <c r="D223" s="23">
        <v>45503</v>
      </c>
      <c r="E223" s="75"/>
      <c r="F223" s="13">
        <v>1</v>
      </c>
      <c r="G223" s="75"/>
      <c r="H223" s="75"/>
      <c r="I223" s="75"/>
      <c r="J223" s="75"/>
      <c r="K223" s="75"/>
      <c r="L223" s="75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</row>
    <row r="224" spans="1:28" x14ac:dyDescent="0.2">
      <c r="A224" s="75">
        <v>223</v>
      </c>
      <c r="B224" s="22" t="s">
        <v>357</v>
      </c>
      <c r="C224" s="13" t="s">
        <v>18</v>
      </c>
      <c r="D224" s="23">
        <v>45509</v>
      </c>
      <c r="E224" s="75"/>
      <c r="F224" s="13"/>
      <c r="G224" s="75"/>
      <c r="H224" s="75"/>
      <c r="I224" s="75"/>
      <c r="J224" s="75"/>
      <c r="K224" s="75"/>
      <c r="L224" s="75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</row>
    <row r="225" spans="1:28" x14ac:dyDescent="0.2">
      <c r="A225" s="75">
        <v>224</v>
      </c>
      <c r="B225" s="22" t="s">
        <v>358</v>
      </c>
      <c r="C225" s="13" t="s">
        <v>18</v>
      </c>
      <c r="D225" s="23">
        <v>45513</v>
      </c>
      <c r="E225" s="75"/>
      <c r="F225" s="13"/>
      <c r="G225" s="75"/>
      <c r="H225" s="75"/>
      <c r="I225" s="75"/>
      <c r="J225" s="75"/>
      <c r="K225" s="75"/>
      <c r="L225" s="75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</row>
    <row r="226" spans="1:28" x14ac:dyDescent="0.2">
      <c r="A226" s="75">
        <v>225</v>
      </c>
      <c r="B226" s="22" t="s">
        <v>359</v>
      </c>
      <c r="C226" s="13" t="s">
        <v>18</v>
      </c>
      <c r="D226" s="23">
        <v>45518</v>
      </c>
      <c r="E226" s="75"/>
      <c r="F226" s="13"/>
      <c r="G226" s="75"/>
      <c r="H226" s="75"/>
      <c r="I226" s="75"/>
      <c r="J226" s="75"/>
      <c r="K226" s="75"/>
      <c r="L226" s="75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</row>
    <row r="227" spans="1:28" x14ac:dyDescent="0.2">
      <c r="A227" s="75">
        <v>226</v>
      </c>
      <c r="B227" s="22" t="s">
        <v>361</v>
      </c>
      <c r="C227" s="13" t="s">
        <v>18</v>
      </c>
      <c r="D227" s="23">
        <v>45520</v>
      </c>
      <c r="E227" s="75"/>
      <c r="F227" s="13"/>
      <c r="G227" s="75"/>
      <c r="H227" s="75"/>
      <c r="I227" s="75"/>
      <c r="J227" s="75"/>
      <c r="K227" s="75"/>
      <c r="L227" s="75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</row>
    <row r="228" spans="1:28" x14ac:dyDescent="0.2">
      <c r="A228" s="75">
        <v>227</v>
      </c>
      <c r="B228" s="22" t="s">
        <v>362</v>
      </c>
      <c r="C228" s="13" t="s">
        <v>18</v>
      </c>
      <c r="D228" s="23">
        <v>45537</v>
      </c>
      <c r="E228" s="75"/>
      <c r="F228" s="13"/>
      <c r="G228" s="75"/>
      <c r="H228" s="75"/>
      <c r="I228" s="75"/>
      <c r="J228" s="75"/>
      <c r="K228" s="75"/>
      <c r="L228" s="75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</row>
    <row r="229" spans="1:28" x14ac:dyDescent="0.2">
      <c r="A229" s="75">
        <v>228</v>
      </c>
      <c r="B229" s="22" t="s">
        <v>364</v>
      </c>
      <c r="C229" s="13" t="s">
        <v>18</v>
      </c>
      <c r="D229" s="23">
        <v>45543</v>
      </c>
      <c r="E229" s="75"/>
      <c r="F229" s="13"/>
      <c r="G229" s="75"/>
      <c r="H229" s="75"/>
      <c r="I229" s="75"/>
      <c r="J229" s="75"/>
      <c r="K229" s="75"/>
      <c r="L229" s="75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</row>
    <row r="230" spans="1:28" x14ac:dyDescent="0.2">
      <c r="A230" s="75">
        <v>229</v>
      </c>
      <c r="B230" s="22" t="s">
        <v>367</v>
      </c>
      <c r="C230" s="13" t="s">
        <v>18</v>
      </c>
      <c r="D230" s="23">
        <v>45546</v>
      </c>
      <c r="E230" s="75"/>
      <c r="F230" s="13"/>
      <c r="G230" s="75"/>
      <c r="H230" s="75"/>
      <c r="I230" s="75"/>
      <c r="J230" s="75"/>
      <c r="K230" s="75"/>
      <c r="L230" s="75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</row>
    <row r="231" spans="1:28" x14ac:dyDescent="0.2">
      <c r="A231" s="75">
        <v>230</v>
      </c>
      <c r="B231" s="22" t="s">
        <v>368</v>
      </c>
      <c r="C231" s="13" t="s">
        <v>18</v>
      </c>
      <c r="D231" s="23">
        <v>45546</v>
      </c>
      <c r="E231" s="75"/>
      <c r="F231" s="13"/>
      <c r="G231" s="75"/>
      <c r="H231" s="75"/>
      <c r="I231" s="75"/>
      <c r="J231" s="75"/>
      <c r="K231" s="75"/>
      <c r="L231" s="75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</row>
    <row r="232" spans="1:28" x14ac:dyDescent="0.2">
      <c r="A232" s="75">
        <v>231</v>
      </c>
      <c r="B232" s="22" t="s">
        <v>369</v>
      </c>
      <c r="C232" s="13" t="s">
        <v>18</v>
      </c>
      <c r="D232" s="23">
        <v>45547</v>
      </c>
      <c r="E232" s="75"/>
      <c r="F232" s="13"/>
      <c r="G232" s="75"/>
      <c r="H232" s="75"/>
      <c r="I232" s="75"/>
      <c r="J232" s="75"/>
      <c r="K232" s="75"/>
      <c r="L232" s="75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</row>
    <row r="233" spans="1:28" x14ac:dyDescent="0.2">
      <c r="A233" s="75">
        <v>232</v>
      </c>
      <c r="B233" s="22" t="s">
        <v>370</v>
      </c>
      <c r="C233" s="13" t="s">
        <v>18</v>
      </c>
      <c r="D233" s="23">
        <v>45549</v>
      </c>
      <c r="E233" s="75"/>
      <c r="F233" s="13"/>
      <c r="G233" s="75"/>
      <c r="H233" s="75"/>
      <c r="I233" s="75"/>
      <c r="J233" s="75"/>
      <c r="K233" s="75"/>
      <c r="L233" s="75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</row>
    <row r="234" spans="1:28" x14ac:dyDescent="0.2">
      <c r="A234" s="75">
        <v>233</v>
      </c>
      <c r="B234" s="22" t="s">
        <v>372</v>
      </c>
      <c r="C234" s="13" t="s">
        <v>18</v>
      </c>
      <c r="D234" s="23">
        <v>45550</v>
      </c>
      <c r="E234" s="75"/>
      <c r="F234" s="13"/>
      <c r="G234" s="75"/>
      <c r="H234" s="75"/>
      <c r="I234" s="75"/>
      <c r="J234" s="75"/>
      <c r="K234" s="75"/>
      <c r="L234" s="75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</row>
    <row r="235" spans="1:28" x14ac:dyDescent="0.2">
      <c r="A235" s="75">
        <v>234</v>
      </c>
      <c r="B235" s="22" t="s">
        <v>373</v>
      </c>
      <c r="C235" s="13" t="s">
        <v>18</v>
      </c>
      <c r="D235" s="23">
        <v>45550</v>
      </c>
      <c r="E235" s="75"/>
      <c r="F235" s="13"/>
      <c r="G235" s="75"/>
      <c r="H235" s="75"/>
      <c r="I235" s="75"/>
      <c r="J235" s="75"/>
      <c r="K235" s="75"/>
      <c r="L235" s="75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</row>
    <row r="236" spans="1:28" x14ac:dyDescent="0.2">
      <c r="A236" s="75">
        <v>235</v>
      </c>
      <c r="B236" s="22" t="s">
        <v>374</v>
      </c>
      <c r="C236" s="13" t="s">
        <v>18</v>
      </c>
      <c r="D236" s="23">
        <v>45551</v>
      </c>
      <c r="E236" s="75"/>
      <c r="F236" s="13"/>
      <c r="G236" s="75"/>
      <c r="H236" s="75"/>
      <c r="I236" s="75"/>
      <c r="J236" s="75"/>
      <c r="K236" s="75"/>
      <c r="L236" s="75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</row>
    <row r="237" spans="1:28" x14ac:dyDescent="0.2">
      <c r="A237" s="75">
        <v>236</v>
      </c>
      <c r="B237" s="22" t="s">
        <v>375</v>
      </c>
      <c r="C237" s="13" t="s">
        <v>18</v>
      </c>
      <c r="D237" s="23">
        <v>45561</v>
      </c>
      <c r="E237" s="75"/>
      <c r="F237" s="13"/>
      <c r="G237" s="75"/>
      <c r="H237" s="75"/>
      <c r="I237" s="75"/>
      <c r="J237" s="75"/>
      <c r="K237" s="75"/>
      <c r="L237" s="75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</row>
    <row r="238" spans="1:28" x14ac:dyDescent="0.2">
      <c r="A238" s="75">
        <v>237</v>
      </c>
      <c r="B238" s="22" t="s">
        <v>376</v>
      </c>
      <c r="C238" s="13" t="s">
        <v>18</v>
      </c>
      <c r="D238" s="23">
        <v>45562</v>
      </c>
      <c r="E238" s="75"/>
      <c r="F238" s="13"/>
      <c r="G238" s="75"/>
      <c r="H238" s="75"/>
      <c r="I238" s="75"/>
      <c r="J238" s="75"/>
      <c r="K238" s="75"/>
      <c r="L238" s="75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</row>
    <row r="239" spans="1:28" x14ac:dyDescent="0.2">
      <c r="A239" s="75">
        <v>238</v>
      </c>
      <c r="B239" s="22" t="s">
        <v>377</v>
      </c>
      <c r="C239" s="13" t="s">
        <v>18</v>
      </c>
      <c r="D239" s="23">
        <v>45575</v>
      </c>
      <c r="E239" s="75"/>
      <c r="F239" s="13"/>
      <c r="G239" s="75"/>
      <c r="H239" s="75"/>
      <c r="I239" s="75"/>
      <c r="J239" s="75"/>
      <c r="K239" s="75"/>
      <c r="L239" s="75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</row>
    <row r="240" spans="1:28" x14ac:dyDescent="0.2">
      <c r="A240" s="75">
        <v>239</v>
      </c>
      <c r="B240" s="22" t="s">
        <v>378</v>
      </c>
      <c r="C240" s="13" t="s">
        <v>18</v>
      </c>
      <c r="D240" s="23">
        <v>45578</v>
      </c>
      <c r="E240" s="75"/>
      <c r="F240" s="13"/>
      <c r="G240" s="75"/>
      <c r="H240" s="75"/>
      <c r="I240" s="75"/>
      <c r="J240" s="75"/>
      <c r="K240" s="75"/>
      <c r="L240" s="75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</row>
    <row r="241" spans="1:28" x14ac:dyDescent="0.2">
      <c r="A241" s="75">
        <v>240</v>
      </c>
      <c r="B241" s="22" t="s">
        <v>379</v>
      </c>
      <c r="C241" s="13" t="s">
        <v>18</v>
      </c>
      <c r="D241" s="23">
        <v>45580</v>
      </c>
      <c r="E241" s="75"/>
      <c r="F241" s="13"/>
      <c r="G241" s="75"/>
      <c r="H241" s="75"/>
      <c r="I241" s="75"/>
      <c r="J241" s="75"/>
      <c r="K241" s="75"/>
      <c r="L241" s="75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</row>
    <row r="242" spans="1:28" x14ac:dyDescent="0.2">
      <c r="A242" s="75">
        <v>241</v>
      </c>
      <c r="B242" s="22" t="s">
        <v>380</v>
      </c>
      <c r="C242" s="13" t="s">
        <v>18</v>
      </c>
      <c r="D242" s="23">
        <v>45586</v>
      </c>
      <c r="E242" s="75"/>
      <c r="F242" s="13"/>
      <c r="G242" s="75"/>
      <c r="H242" s="75"/>
      <c r="I242" s="75"/>
      <c r="J242" s="75"/>
      <c r="K242" s="75"/>
      <c r="L242" s="75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</row>
    <row r="243" spans="1:28" x14ac:dyDescent="0.2">
      <c r="A243" s="75">
        <v>242</v>
      </c>
      <c r="B243" s="22" t="s">
        <v>381</v>
      </c>
      <c r="C243" s="13" t="s">
        <v>63</v>
      </c>
      <c r="D243" s="23">
        <v>45589</v>
      </c>
      <c r="E243" s="75"/>
      <c r="F243" s="13"/>
      <c r="G243" s="75"/>
      <c r="H243" s="75"/>
      <c r="I243" s="75"/>
      <c r="J243" s="75"/>
      <c r="K243" s="75"/>
      <c r="L243" s="75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</row>
    <row r="244" spans="1:28" x14ac:dyDescent="0.2">
      <c r="A244" s="75">
        <v>243</v>
      </c>
      <c r="B244" s="22" t="s">
        <v>382</v>
      </c>
      <c r="C244" s="13" t="s">
        <v>63</v>
      </c>
      <c r="D244" s="23">
        <v>45592</v>
      </c>
      <c r="E244" s="75"/>
      <c r="F244" s="13"/>
      <c r="G244" s="75"/>
      <c r="H244" s="75"/>
      <c r="I244" s="75"/>
      <c r="J244" s="75"/>
      <c r="K244" s="75"/>
      <c r="L244" s="75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</row>
    <row r="245" spans="1:28" x14ac:dyDescent="0.2">
      <c r="A245" s="75">
        <v>244</v>
      </c>
      <c r="B245" s="22" t="s">
        <v>383</v>
      </c>
      <c r="C245" s="13" t="s">
        <v>63</v>
      </c>
      <c r="D245" s="23">
        <v>45593</v>
      </c>
      <c r="E245" s="75"/>
      <c r="F245" s="13"/>
      <c r="G245" s="75"/>
      <c r="H245" s="75"/>
      <c r="I245" s="75"/>
      <c r="J245" s="75"/>
      <c r="K245" s="75"/>
      <c r="L245" s="75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</row>
    <row r="246" spans="1:28" x14ac:dyDescent="0.2">
      <c r="A246" s="75">
        <v>245</v>
      </c>
      <c r="B246" s="22" t="s">
        <v>384</v>
      </c>
      <c r="C246" s="13" t="s">
        <v>63</v>
      </c>
      <c r="D246" s="23">
        <v>45593</v>
      </c>
      <c r="E246" s="75"/>
      <c r="F246" s="13"/>
      <c r="G246" s="75"/>
      <c r="H246" s="75"/>
      <c r="I246" s="75"/>
      <c r="J246" s="75"/>
      <c r="K246" s="75"/>
      <c r="L246" s="75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</row>
    <row r="247" spans="1:28" x14ac:dyDescent="0.2">
      <c r="A247" s="75">
        <v>246</v>
      </c>
      <c r="B247" s="22" t="s">
        <v>385</v>
      </c>
      <c r="C247" s="13" t="s">
        <v>18</v>
      </c>
      <c r="D247" s="23">
        <v>45599</v>
      </c>
      <c r="E247" s="75"/>
      <c r="F247" s="13"/>
      <c r="G247" s="75"/>
      <c r="H247" s="75"/>
      <c r="I247" s="75"/>
      <c r="J247" s="75"/>
      <c r="K247" s="75"/>
      <c r="L247" s="75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</row>
    <row r="248" spans="1:28" x14ac:dyDescent="0.2">
      <c r="A248" s="75">
        <v>247</v>
      </c>
      <c r="B248" s="22" t="s">
        <v>386</v>
      </c>
      <c r="C248" s="13" t="s">
        <v>18</v>
      </c>
      <c r="D248" s="23">
        <v>45605</v>
      </c>
      <c r="E248" s="75"/>
      <c r="F248" s="13"/>
      <c r="G248" s="75"/>
      <c r="H248" s="75"/>
      <c r="I248" s="75"/>
      <c r="J248" s="75"/>
      <c r="K248" s="75"/>
      <c r="L248" s="75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</row>
    <row r="249" spans="1:28" x14ac:dyDescent="0.2">
      <c r="A249" s="75">
        <v>248</v>
      </c>
      <c r="B249" s="22" t="s">
        <v>387</v>
      </c>
      <c r="C249" s="13" t="s">
        <v>18</v>
      </c>
      <c r="D249" s="23">
        <v>45613</v>
      </c>
      <c r="E249" s="75"/>
      <c r="F249" s="13"/>
      <c r="G249" s="75"/>
      <c r="H249" s="75"/>
      <c r="I249" s="75"/>
      <c r="J249" s="75"/>
      <c r="K249" s="75"/>
      <c r="L249" s="75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</row>
    <row r="250" spans="1:28" x14ac:dyDescent="0.2">
      <c r="A250" s="75">
        <v>249</v>
      </c>
      <c r="B250" s="22" t="s">
        <v>389</v>
      </c>
      <c r="C250" s="13" t="s">
        <v>18</v>
      </c>
      <c r="D250" s="23">
        <v>45624</v>
      </c>
      <c r="E250" s="75"/>
      <c r="F250" s="13"/>
      <c r="G250" s="75"/>
      <c r="H250" s="75"/>
      <c r="I250" s="75"/>
      <c r="J250" s="75"/>
      <c r="K250" s="75"/>
      <c r="L250" s="75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</row>
    <row r="251" spans="1:28" x14ac:dyDescent="0.2">
      <c r="A251" s="75">
        <v>250</v>
      </c>
      <c r="B251" s="22" t="s">
        <v>391</v>
      </c>
      <c r="C251" s="13" t="s">
        <v>18</v>
      </c>
      <c r="D251" s="23">
        <v>45625</v>
      </c>
      <c r="E251" s="75"/>
      <c r="F251" s="13"/>
      <c r="G251" s="75"/>
      <c r="H251" s="75"/>
      <c r="I251" s="75"/>
      <c r="J251" s="75"/>
      <c r="K251" s="75"/>
      <c r="L251" s="75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</row>
    <row r="252" spans="1:28" x14ac:dyDescent="0.2">
      <c r="A252" s="75">
        <v>251</v>
      </c>
      <c r="B252" s="22" t="s">
        <v>393</v>
      </c>
      <c r="C252" s="13" t="s">
        <v>18</v>
      </c>
      <c r="D252" s="23">
        <v>45626</v>
      </c>
      <c r="E252" s="75"/>
      <c r="F252" s="13"/>
      <c r="G252" s="75"/>
      <c r="H252" s="75"/>
      <c r="I252" s="75"/>
      <c r="J252" s="75"/>
      <c r="K252" s="75"/>
      <c r="L252" s="75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</row>
    <row r="253" spans="1:28" x14ac:dyDescent="0.2">
      <c r="A253" s="75">
        <v>252</v>
      </c>
      <c r="B253" s="22" t="s">
        <v>395</v>
      </c>
      <c r="C253" s="13" t="s">
        <v>18</v>
      </c>
      <c r="D253" s="23">
        <v>45627</v>
      </c>
      <c r="E253" s="75"/>
      <c r="F253" s="13"/>
      <c r="G253" s="75"/>
      <c r="H253" s="75"/>
      <c r="I253" s="75"/>
      <c r="J253" s="75"/>
      <c r="K253" s="75"/>
      <c r="L253" s="75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</row>
    <row r="254" spans="1:28" x14ac:dyDescent="0.2">
      <c r="A254" s="75">
        <v>253</v>
      </c>
      <c r="B254" s="22" t="s">
        <v>396</v>
      </c>
      <c r="C254" s="13" t="s">
        <v>18</v>
      </c>
      <c r="D254" s="23">
        <v>45628</v>
      </c>
      <c r="E254" s="75"/>
      <c r="F254" s="13"/>
      <c r="G254" s="75"/>
      <c r="H254" s="75"/>
      <c r="I254" s="75"/>
      <c r="J254" s="75"/>
      <c r="K254" s="75"/>
      <c r="L254" s="75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</row>
    <row r="255" spans="1:28" x14ac:dyDescent="0.2">
      <c r="A255" s="75">
        <v>254</v>
      </c>
      <c r="B255" s="22" t="s">
        <v>397</v>
      </c>
      <c r="C255" s="13" t="s">
        <v>18</v>
      </c>
      <c r="D255" s="23">
        <v>45631</v>
      </c>
      <c r="E255" s="75"/>
      <c r="F255" s="13"/>
      <c r="G255" s="75"/>
      <c r="H255" s="75"/>
      <c r="I255" s="75"/>
      <c r="J255" s="75"/>
      <c r="K255" s="75"/>
      <c r="L255" s="75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</row>
    <row r="256" spans="1:28" x14ac:dyDescent="0.2">
      <c r="A256" s="75">
        <v>255</v>
      </c>
      <c r="B256" s="22" t="s">
        <v>398</v>
      </c>
      <c r="C256" s="13" t="s">
        <v>18</v>
      </c>
      <c r="D256" s="23">
        <v>45636</v>
      </c>
      <c r="E256" s="75"/>
      <c r="F256" s="13"/>
      <c r="G256" s="75"/>
      <c r="H256" s="75"/>
      <c r="I256" s="75"/>
      <c r="J256" s="75"/>
      <c r="K256" s="75"/>
      <c r="L256" s="75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</row>
    <row r="257" spans="1:28" x14ac:dyDescent="0.2">
      <c r="A257" s="75">
        <v>256</v>
      </c>
      <c r="B257" s="22" t="s">
        <v>400</v>
      </c>
      <c r="C257" s="13" t="s">
        <v>18</v>
      </c>
      <c r="D257" s="23">
        <v>45636</v>
      </c>
      <c r="E257" s="75"/>
      <c r="F257" s="13"/>
      <c r="G257" s="75"/>
      <c r="H257" s="75"/>
      <c r="I257" s="75"/>
      <c r="J257" s="75"/>
      <c r="K257" s="75"/>
      <c r="L257" s="75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</row>
    <row r="258" spans="1:28" x14ac:dyDescent="0.2">
      <c r="A258" s="75">
        <v>257</v>
      </c>
      <c r="B258" s="22" t="s">
        <v>401</v>
      </c>
      <c r="C258" s="13" t="s">
        <v>18</v>
      </c>
      <c r="D258" s="23">
        <v>45636</v>
      </c>
      <c r="E258" s="75"/>
      <c r="F258" s="13"/>
      <c r="G258" s="75"/>
      <c r="H258" s="75"/>
      <c r="I258" s="75"/>
      <c r="J258" s="75"/>
      <c r="K258" s="75"/>
      <c r="L258" s="75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</row>
    <row r="259" spans="1:28" x14ac:dyDescent="0.2">
      <c r="A259" s="75">
        <v>258</v>
      </c>
      <c r="B259" s="22" t="s">
        <v>403</v>
      </c>
      <c r="C259" s="13" t="s">
        <v>18</v>
      </c>
      <c r="D259" s="23">
        <v>45645</v>
      </c>
      <c r="E259" s="75"/>
      <c r="F259" s="13"/>
      <c r="G259" s="75"/>
      <c r="H259" s="75"/>
      <c r="I259" s="75"/>
      <c r="J259" s="75"/>
      <c r="K259" s="75"/>
      <c r="L259" s="75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</row>
    <row r="260" spans="1:28" x14ac:dyDescent="0.2">
      <c r="A260" s="75">
        <v>259</v>
      </c>
      <c r="B260" s="22" t="s">
        <v>404</v>
      </c>
      <c r="C260" s="13" t="s">
        <v>18</v>
      </c>
      <c r="D260" s="23">
        <v>45664</v>
      </c>
      <c r="E260" s="75"/>
      <c r="F260" s="13"/>
      <c r="G260" s="75"/>
      <c r="H260" s="75"/>
      <c r="I260" s="75"/>
      <c r="J260" s="75"/>
      <c r="K260" s="75"/>
      <c r="L260" s="75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</row>
    <row r="261" spans="1:28" x14ac:dyDescent="0.2">
      <c r="A261" s="75">
        <v>260</v>
      </c>
      <c r="B261" s="22" t="s">
        <v>406</v>
      </c>
      <c r="C261" s="13" t="s">
        <v>18</v>
      </c>
      <c r="D261" s="23">
        <v>45669</v>
      </c>
      <c r="E261" s="75"/>
      <c r="F261" s="13"/>
      <c r="G261" s="75"/>
      <c r="H261" s="75"/>
      <c r="I261" s="75"/>
      <c r="J261" s="75"/>
      <c r="K261" s="75"/>
      <c r="L261" s="75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</row>
    <row r="262" spans="1:28" x14ac:dyDescent="0.2">
      <c r="A262" s="75">
        <v>261</v>
      </c>
      <c r="B262" s="22" t="s">
        <v>407</v>
      </c>
      <c r="C262" s="13" t="s">
        <v>18</v>
      </c>
      <c r="D262" s="23">
        <v>45670</v>
      </c>
      <c r="E262" s="75"/>
      <c r="F262" s="13"/>
      <c r="G262" s="75"/>
      <c r="H262" s="75"/>
      <c r="I262" s="75"/>
      <c r="J262" s="75"/>
      <c r="K262" s="75"/>
      <c r="L262" s="75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</row>
    <row r="263" spans="1:28" x14ac:dyDescent="0.2">
      <c r="A263" s="75">
        <v>262</v>
      </c>
      <c r="B263" s="22" t="s">
        <v>409</v>
      </c>
      <c r="C263" s="13" t="s">
        <v>18</v>
      </c>
      <c r="D263" s="23">
        <v>45678</v>
      </c>
      <c r="E263" s="75"/>
      <c r="F263" s="13"/>
      <c r="G263" s="75"/>
      <c r="H263" s="75"/>
      <c r="I263" s="75"/>
      <c r="J263" s="75"/>
      <c r="K263" s="75"/>
      <c r="L263" s="75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</row>
    <row r="264" spans="1:28" x14ac:dyDescent="0.2">
      <c r="A264" s="75">
        <v>263</v>
      </c>
      <c r="B264" s="22" t="s">
        <v>410</v>
      </c>
      <c r="C264" s="13" t="s">
        <v>18</v>
      </c>
      <c r="D264" s="23">
        <v>45717</v>
      </c>
      <c r="E264" s="75"/>
      <c r="F264" s="13"/>
      <c r="G264" s="75"/>
      <c r="H264" s="75"/>
      <c r="I264" s="75"/>
      <c r="J264" s="75"/>
      <c r="K264" s="75"/>
      <c r="L264" s="75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</row>
    <row r="265" spans="1:28" x14ac:dyDescent="0.2">
      <c r="A265" s="75">
        <v>264</v>
      </c>
      <c r="B265" s="22" t="s">
        <v>411</v>
      </c>
      <c r="C265" s="13" t="s">
        <v>18</v>
      </c>
      <c r="D265" s="23">
        <v>45737</v>
      </c>
      <c r="E265" s="75"/>
      <c r="F265" s="13"/>
      <c r="G265" s="75"/>
      <c r="H265" s="75"/>
      <c r="I265" s="75"/>
      <c r="J265" s="75"/>
      <c r="K265" s="75"/>
      <c r="L265" s="75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</row>
    <row r="266" spans="1:28" x14ac:dyDescent="0.2">
      <c r="A266" s="75">
        <v>265</v>
      </c>
      <c r="B266" s="22" t="s">
        <v>412</v>
      </c>
      <c r="C266" s="13" t="s">
        <v>18</v>
      </c>
      <c r="D266" s="23">
        <v>45738</v>
      </c>
      <c r="E266" s="75"/>
      <c r="F266" s="13"/>
      <c r="G266" s="75"/>
      <c r="H266" s="75"/>
      <c r="I266" s="75"/>
      <c r="J266" s="75"/>
      <c r="K266" s="75"/>
      <c r="L266" s="75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</row>
    <row r="267" spans="1:28" x14ac:dyDescent="0.2">
      <c r="A267" s="75">
        <v>266</v>
      </c>
      <c r="B267" s="22" t="s">
        <v>413</v>
      </c>
      <c r="C267" s="13" t="s">
        <v>18</v>
      </c>
      <c r="D267" s="23">
        <v>45743</v>
      </c>
      <c r="E267" s="75"/>
      <c r="F267" s="13"/>
      <c r="G267" s="75"/>
      <c r="H267" s="75"/>
      <c r="I267" s="75"/>
      <c r="J267" s="75"/>
      <c r="K267" s="75"/>
      <c r="L267" s="75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</row>
    <row r="268" spans="1:28" x14ac:dyDescent="0.2">
      <c r="A268" s="75">
        <v>267</v>
      </c>
      <c r="B268" s="22" t="s">
        <v>414</v>
      </c>
      <c r="C268" s="13" t="s">
        <v>18</v>
      </c>
      <c r="D268" s="23">
        <v>45756</v>
      </c>
      <c r="E268" s="75"/>
      <c r="F268" s="13"/>
      <c r="G268" s="75"/>
      <c r="H268" s="75"/>
      <c r="I268" s="75"/>
      <c r="J268" s="75"/>
      <c r="K268" s="75"/>
      <c r="L268" s="75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</row>
    <row r="269" spans="1:28" x14ac:dyDescent="0.2">
      <c r="A269" s="75">
        <v>268</v>
      </c>
      <c r="B269" s="22" t="s">
        <v>417</v>
      </c>
      <c r="C269" s="13" t="s">
        <v>18</v>
      </c>
      <c r="D269" s="23">
        <v>45767</v>
      </c>
      <c r="E269" s="75"/>
      <c r="F269" s="13"/>
      <c r="G269" s="75"/>
      <c r="H269" s="75"/>
      <c r="I269" s="75"/>
      <c r="J269" s="75"/>
      <c r="K269" s="75"/>
      <c r="L269" s="75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</row>
    <row r="270" spans="1:28" x14ac:dyDescent="0.2">
      <c r="A270" s="75">
        <v>269</v>
      </c>
      <c r="B270" s="22" t="s">
        <v>419</v>
      </c>
      <c r="C270" s="13" t="s">
        <v>18</v>
      </c>
      <c r="D270" s="23">
        <v>45773</v>
      </c>
      <c r="E270" s="75"/>
      <c r="F270" s="13"/>
      <c r="G270" s="75"/>
      <c r="H270" s="75"/>
      <c r="I270" s="75"/>
      <c r="J270" s="75"/>
      <c r="K270" s="75"/>
      <c r="L270" s="75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</row>
    <row r="271" spans="1:28" x14ac:dyDescent="0.2">
      <c r="A271" s="75">
        <v>270</v>
      </c>
      <c r="B271" s="22" t="s">
        <v>420</v>
      </c>
      <c r="C271" s="13" t="s">
        <v>63</v>
      </c>
      <c r="D271" s="23">
        <v>45777</v>
      </c>
      <c r="E271" s="75"/>
      <c r="F271" s="13"/>
      <c r="G271" s="75"/>
      <c r="H271" s="75"/>
      <c r="I271" s="75"/>
      <c r="J271" s="75"/>
      <c r="K271" s="75"/>
      <c r="L271" s="75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</row>
    <row r="272" spans="1:28" x14ac:dyDescent="0.2">
      <c r="A272" s="75">
        <v>271</v>
      </c>
      <c r="B272" s="22" t="s">
        <v>421</v>
      </c>
      <c r="C272" s="13" t="s">
        <v>18</v>
      </c>
      <c r="D272" s="23">
        <v>45802</v>
      </c>
      <c r="E272" s="75"/>
      <c r="F272" s="13"/>
      <c r="G272" s="75"/>
      <c r="H272" s="75"/>
      <c r="I272" s="75"/>
      <c r="J272" s="75"/>
      <c r="K272" s="75"/>
      <c r="L272" s="75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</row>
    <row r="273" spans="1:28" x14ac:dyDescent="0.2">
      <c r="A273" s="75">
        <v>272</v>
      </c>
      <c r="B273" s="22" t="s">
        <v>422</v>
      </c>
      <c r="C273" s="13" t="s">
        <v>18</v>
      </c>
      <c r="D273" s="23">
        <v>45838</v>
      </c>
      <c r="E273" s="75"/>
      <c r="F273" s="13"/>
      <c r="G273" s="75"/>
      <c r="H273" s="75"/>
      <c r="I273" s="75"/>
      <c r="J273" s="75"/>
      <c r="K273" s="75"/>
      <c r="L273" s="75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</row>
    <row r="274" spans="1:28" x14ac:dyDescent="0.2">
      <c r="A274" s="75">
        <v>273</v>
      </c>
      <c r="B274" s="22" t="s">
        <v>424</v>
      </c>
      <c r="C274" s="13" t="s">
        <v>18</v>
      </c>
      <c r="D274" s="23">
        <v>45847</v>
      </c>
      <c r="E274" s="75"/>
      <c r="F274" s="13"/>
      <c r="G274" s="75"/>
      <c r="H274" s="75"/>
      <c r="I274" s="75"/>
      <c r="J274" s="75"/>
      <c r="K274" s="75"/>
      <c r="L274" s="75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</row>
    <row r="275" spans="1:28" x14ac:dyDescent="0.2">
      <c r="A275" s="75">
        <v>274</v>
      </c>
      <c r="B275" s="22" t="s">
        <v>425</v>
      </c>
      <c r="C275" s="13" t="s">
        <v>18</v>
      </c>
      <c r="D275" s="23">
        <v>45862</v>
      </c>
      <c r="E275" s="75"/>
      <c r="F275" s="13"/>
      <c r="G275" s="75"/>
      <c r="H275" s="75"/>
      <c r="I275" s="75"/>
      <c r="J275" s="75"/>
      <c r="K275" s="75"/>
      <c r="L275" s="75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</row>
    <row r="276" spans="1:28" x14ac:dyDescent="0.2">
      <c r="A276" s="75">
        <v>275</v>
      </c>
      <c r="B276" s="22" t="s">
        <v>427</v>
      </c>
      <c r="C276" s="13" t="s">
        <v>18</v>
      </c>
      <c r="D276" s="23">
        <v>45869</v>
      </c>
      <c r="E276" s="75"/>
      <c r="F276" s="13"/>
      <c r="G276" s="75"/>
      <c r="H276" s="75"/>
      <c r="I276" s="75"/>
      <c r="J276" s="75"/>
      <c r="K276" s="75"/>
      <c r="L276" s="75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</row>
    <row r="277" spans="1:28" x14ac:dyDescent="0.2">
      <c r="A277" s="75">
        <v>276</v>
      </c>
      <c r="B277" s="22" t="s">
        <v>428</v>
      </c>
      <c r="C277" s="13" t="s">
        <v>18</v>
      </c>
      <c r="D277" s="23">
        <v>45870</v>
      </c>
      <c r="E277" s="75"/>
      <c r="F277" s="13"/>
      <c r="G277" s="75"/>
      <c r="H277" s="75"/>
      <c r="I277" s="75"/>
      <c r="J277" s="75"/>
      <c r="K277" s="75"/>
      <c r="L277" s="75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</row>
    <row r="278" spans="1:28" x14ac:dyDescent="0.2">
      <c r="A278" s="75">
        <v>277</v>
      </c>
      <c r="B278" s="22" t="s">
        <v>429</v>
      </c>
      <c r="C278" s="13" t="s">
        <v>18</v>
      </c>
      <c r="D278" s="23">
        <v>45883</v>
      </c>
      <c r="E278" s="75"/>
      <c r="F278" s="13"/>
      <c r="G278" s="75"/>
      <c r="H278" s="75"/>
      <c r="I278" s="75"/>
      <c r="J278" s="75"/>
      <c r="K278" s="75"/>
      <c r="L278" s="75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</row>
    <row r="279" spans="1:28" x14ac:dyDescent="0.2">
      <c r="A279" s="75">
        <v>278</v>
      </c>
      <c r="B279" s="22" t="s">
        <v>432</v>
      </c>
      <c r="C279" s="13" t="s">
        <v>18</v>
      </c>
      <c r="D279" s="23">
        <v>45889</v>
      </c>
      <c r="E279" s="75"/>
      <c r="F279" s="13"/>
      <c r="G279" s="75"/>
      <c r="H279" s="75"/>
      <c r="I279" s="75"/>
      <c r="J279" s="75"/>
      <c r="K279" s="75"/>
      <c r="L279" s="75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</row>
    <row r="280" spans="1:28" x14ac:dyDescent="0.2">
      <c r="A280" s="75">
        <v>279</v>
      </c>
      <c r="B280" s="22" t="s">
        <v>433</v>
      </c>
      <c r="C280" s="13" t="s">
        <v>18</v>
      </c>
      <c r="D280" s="23">
        <v>45892</v>
      </c>
      <c r="E280" s="75"/>
      <c r="F280" s="13"/>
      <c r="G280" s="75"/>
      <c r="H280" s="75"/>
      <c r="I280" s="75"/>
      <c r="J280" s="75"/>
      <c r="K280" s="75"/>
      <c r="L280" s="75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</row>
    <row r="281" spans="1:28" x14ac:dyDescent="0.2">
      <c r="A281" s="75">
        <v>280</v>
      </c>
      <c r="B281" s="22" t="s">
        <v>434</v>
      </c>
      <c r="C281" s="13" t="s">
        <v>18</v>
      </c>
      <c r="D281" s="23">
        <v>45893</v>
      </c>
      <c r="E281" s="75"/>
      <c r="F281" s="13"/>
      <c r="G281" s="75"/>
      <c r="H281" s="75"/>
      <c r="I281" s="75"/>
      <c r="J281" s="75"/>
      <c r="K281" s="75"/>
      <c r="L281" s="75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</row>
    <row r="282" spans="1:28" x14ac:dyDescent="0.2">
      <c r="A282" s="75">
        <v>281</v>
      </c>
      <c r="B282" s="22" t="s">
        <v>435</v>
      </c>
      <c r="C282" s="13" t="s">
        <v>18</v>
      </c>
      <c r="D282" s="23">
        <v>45906</v>
      </c>
      <c r="E282" s="75"/>
      <c r="F282" s="13"/>
      <c r="G282" s="75"/>
      <c r="H282" s="75"/>
      <c r="I282" s="75"/>
      <c r="J282" s="75"/>
      <c r="K282" s="75"/>
      <c r="L282" s="75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</row>
    <row r="283" spans="1:28" x14ac:dyDescent="0.2">
      <c r="A283" s="75">
        <v>282</v>
      </c>
      <c r="B283" s="22" t="s">
        <v>436</v>
      </c>
      <c r="C283" s="13" t="s">
        <v>18</v>
      </c>
      <c r="D283" s="23">
        <v>45907</v>
      </c>
      <c r="E283" s="75"/>
      <c r="F283" s="13"/>
      <c r="G283" s="75"/>
      <c r="H283" s="75"/>
      <c r="I283" s="75"/>
      <c r="J283" s="75"/>
      <c r="K283" s="75"/>
      <c r="L283" s="75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</row>
    <row r="284" spans="1:28" x14ac:dyDescent="0.2">
      <c r="A284" s="75">
        <v>283</v>
      </c>
      <c r="B284" s="22" t="s">
        <v>438</v>
      </c>
      <c r="C284" s="13" t="s">
        <v>18</v>
      </c>
      <c r="D284" s="23">
        <v>45908</v>
      </c>
      <c r="E284" s="75"/>
      <c r="F284" s="13"/>
      <c r="G284" s="75"/>
      <c r="H284" s="75"/>
      <c r="I284" s="75"/>
      <c r="J284" s="75"/>
      <c r="K284" s="75"/>
      <c r="L284" s="75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</row>
    <row r="285" spans="1:28" x14ac:dyDescent="0.2">
      <c r="A285" s="75">
        <v>284</v>
      </c>
      <c r="B285" s="22" t="s">
        <v>439</v>
      </c>
      <c r="C285" s="13" t="s">
        <v>18</v>
      </c>
      <c r="D285" s="23">
        <v>45916</v>
      </c>
      <c r="E285" s="75"/>
      <c r="F285" s="13"/>
      <c r="G285" s="75"/>
      <c r="H285" s="75"/>
      <c r="I285" s="75"/>
      <c r="J285" s="75"/>
      <c r="K285" s="75"/>
      <c r="L285" s="75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</row>
    <row r="286" spans="1:28" x14ac:dyDescent="0.2">
      <c r="A286" s="75">
        <v>285</v>
      </c>
      <c r="B286" s="22" t="s">
        <v>440</v>
      </c>
      <c r="C286" s="13" t="s">
        <v>18</v>
      </c>
      <c r="D286" s="23">
        <v>45920</v>
      </c>
      <c r="E286" s="75"/>
      <c r="F286" s="13"/>
      <c r="G286" s="75"/>
      <c r="H286" s="75"/>
      <c r="I286" s="75"/>
      <c r="J286" s="75"/>
      <c r="K286" s="75"/>
      <c r="L286" s="75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</row>
    <row r="287" spans="1:28" x14ac:dyDescent="0.2">
      <c r="A287" s="75">
        <v>286</v>
      </c>
      <c r="B287" s="22" t="s">
        <v>441</v>
      </c>
      <c r="C287" s="13" t="s">
        <v>18</v>
      </c>
      <c r="D287" s="23">
        <v>45927</v>
      </c>
      <c r="E287" s="75"/>
      <c r="F287" s="13"/>
      <c r="G287" s="75"/>
      <c r="H287" s="75"/>
      <c r="I287" s="75"/>
      <c r="J287" s="75"/>
      <c r="K287" s="75"/>
      <c r="L287" s="75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</row>
    <row r="288" spans="1:28" x14ac:dyDescent="0.2">
      <c r="A288" s="75">
        <v>287</v>
      </c>
      <c r="B288" s="22" t="s">
        <v>442</v>
      </c>
      <c r="C288" s="13" t="s">
        <v>18</v>
      </c>
      <c r="D288" s="23">
        <v>45930</v>
      </c>
      <c r="E288" s="75"/>
      <c r="F288" s="13"/>
      <c r="G288" s="75"/>
      <c r="H288" s="75"/>
      <c r="I288" s="75"/>
      <c r="J288" s="75"/>
      <c r="K288" s="75"/>
      <c r="L288" s="75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</row>
    <row r="289" spans="1:28" x14ac:dyDescent="0.2">
      <c r="A289" s="75">
        <v>288</v>
      </c>
      <c r="B289" s="22" t="s">
        <v>443</v>
      </c>
      <c r="C289" s="13" t="s">
        <v>18</v>
      </c>
      <c r="D289" s="23">
        <v>45930</v>
      </c>
      <c r="E289" s="75"/>
      <c r="F289" s="13"/>
      <c r="G289" s="75"/>
      <c r="H289" s="75"/>
      <c r="I289" s="75"/>
      <c r="J289" s="75"/>
      <c r="K289" s="75"/>
      <c r="L289" s="75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</row>
    <row r="290" spans="1:28" x14ac:dyDescent="0.2">
      <c r="A290" s="75">
        <v>289</v>
      </c>
      <c r="B290" s="22" t="s">
        <v>444</v>
      </c>
      <c r="C290" s="13" t="s">
        <v>18</v>
      </c>
      <c r="D290" s="23">
        <v>45934</v>
      </c>
      <c r="E290" s="75"/>
      <c r="F290" s="13"/>
      <c r="G290" s="75"/>
      <c r="H290" s="75"/>
      <c r="I290" s="75"/>
      <c r="J290" s="75"/>
      <c r="K290" s="75"/>
      <c r="L290" s="75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</row>
    <row r="291" spans="1:28" x14ac:dyDescent="0.2">
      <c r="A291" s="75">
        <v>290</v>
      </c>
      <c r="B291" s="22" t="s">
        <v>445</v>
      </c>
      <c r="C291" s="13" t="s">
        <v>18</v>
      </c>
      <c r="D291" s="23">
        <v>45935</v>
      </c>
      <c r="E291" s="75"/>
      <c r="F291" s="13"/>
      <c r="G291" s="75"/>
      <c r="H291" s="75"/>
      <c r="I291" s="75"/>
      <c r="J291" s="75"/>
      <c r="K291" s="75"/>
      <c r="L291" s="75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</row>
    <row r="292" spans="1:28" x14ac:dyDescent="0.2">
      <c r="A292" s="75">
        <v>291</v>
      </c>
      <c r="B292" s="22" t="s">
        <v>446</v>
      </c>
      <c r="C292" s="13" t="s">
        <v>18</v>
      </c>
      <c r="D292" s="23">
        <v>45935</v>
      </c>
      <c r="E292" s="75"/>
      <c r="F292" s="13"/>
      <c r="G292" s="75"/>
      <c r="H292" s="75"/>
      <c r="I292" s="75"/>
      <c r="J292" s="75"/>
      <c r="K292" s="75"/>
      <c r="L292" s="75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</row>
    <row r="293" spans="1:28" x14ac:dyDescent="0.2">
      <c r="A293" s="75">
        <v>292</v>
      </c>
      <c r="B293" s="22" t="s">
        <v>447</v>
      </c>
      <c r="C293" s="13" t="s">
        <v>18</v>
      </c>
      <c r="D293" s="23">
        <v>45936</v>
      </c>
      <c r="E293" s="75"/>
      <c r="F293" s="13"/>
      <c r="G293" s="75"/>
      <c r="H293" s="75"/>
      <c r="I293" s="75"/>
      <c r="J293" s="75"/>
      <c r="K293" s="75"/>
      <c r="L293" s="75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</row>
    <row r="294" spans="1:28" x14ac:dyDescent="0.2">
      <c r="A294" s="75">
        <v>293</v>
      </c>
      <c r="B294" s="22" t="s">
        <v>448</v>
      </c>
      <c r="C294" s="13" t="s">
        <v>18</v>
      </c>
      <c r="D294" s="23">
        <v>45942</v>
      </c>
      <c r="E294" s="75"/>
      <c r="F294" s="13"/>
      <c r="G294" s="75"/>
      <c r="H294" s="75"/>
      <c r="I294" s="75"/>
      <c r="J294" s="75"/>
      <c r="K294" s="75"/>
      <c r="L294" s="75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</row>
    <row r="295" spans="1:28" x14ac:dyDescent="0.2">
      <c r="A295" s="75">
        <v>294</v>
      </c>
      <c r="B295" s="22" t="s">
        <v>449</v>
      </c>
      <c r="C295" s="13" t="s">
        <v>18</v>
      </c>
      <c r="D295" s="23">
        <v>45946</v>
      </c>
      <c r="E295" s="75"/>
      <c r="F295" s="13"/>
      <c r="G295" s="75"/>
      <c r="H295" s="75"/>
      <c r="I295" s="75"/>
      <c r="J295" s="75"/>
      <c r="K295" s="75"/>
      <c r="L295" s="75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</row>
    <row r="296" spans="1:28" x14ac:dyDescent="0.2">
      <c r="A296" s="75">
        <v>295</v>
      </c>
      <c r="B296" s="22" t="s">
        <v>450</v>
      </c>
      <c r="C296" s="13" t="s">
        <v>18</v>
      </c>
      <c r="D296" s="23">
        <v>45946</v>
      </c>
      <c r="E296" s="75"/>
      <c r="F296" s="13"/>
      <c r="G296" s="75"/>
      <c r="H296" s="75"/>
      <c r="I296" s="75"/>
      <c r="J296" s="75"/>
      <c r="K296" s="75"/>
      <c r="L296" s="75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</row>
    <row r="297" spans="1:28" x14ac:dyDescent="0.2">
      <c r="A297" s="75">
        <v>296</v>
      </c>
      <c r="B297" s="22" t="s">
        <v>451</v>
      </c>
      <c r="C297" s="13" t="s">
        <v>18</v>
      </c>
      <c r="D297" s="23">
        <v>45957</v>
      </c>
      <c r="E297" s="75"/>
      <c r="F297" s="13"/>
      <c r="G297" s="75"/>
      <c r="H297" s="75"/>
      <c r="I297" s="75"/>
      <c r="J297" s="75"/>
      <c r="K297" s="75"/>
      <c r="L297" s="75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</row>
    <row r="298" spans="1:28" x14ac:dyDescent="0.2">
      <c r="A298" s="75">
        <v>297</v>
      </c>
      <c r="B298" s="22" t="s">
        <v>452</v>
      </c>
      <c r="C298" s="13" t="s">
        <v>18</v>
      </c>
      <c r="D298" s="23">
        <v>45958</v>
      </c>
      <c r="E298" s="75"/>
      <c r="F298" s="13"/>
      <c r="G298" s="75"/>
      <c r="H298" s="75"/>
      <c r="I298" s="75"/>
      <c r="J298" s="75"/>
      <c r="K298" s="75"/>
      <c r="L298" s="75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</row>
    <row r="299" spans="1:28" x14ac:dyDescent="0.2">
      <c r="A299" s="75">
        <v>298</v>
      </c>
      <c r="B299" s="22" t="s">
        <v>453</v>
      </c>
      <c r="C299" s="13" t="s">
        <v>18</v>
      </c>
      <c r="D299" s="23">
        <v>45958</v>
      </c>
      <c r="E299" s="75"/>
      <c r="F299" s="13"/>
      <c r="G299" s="75"/>
      <c r="H299" s="75"/>
      <c r="I299" s="75"/>
      <c r="J299" s="75"/>
      <c r="K299" s="75"/>
      <c r="L299" s="75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</row>
    <row r="300" spans="1:28" x14ac:dyDescent="0.2">
      <c r="A300" s="75">
        <v>299</v>
      </c>
      <c r="B300" s="22" t="s">
        <v>455</v>
      </c>
      <c r="C300" s="13" t="s">
        <v>18</v>
      </c>
      <c r="D300" s="23">
        <v>45959</v>
      </c>
      <c r="E300" s="75"/>
      <c r="F300" s="13"/>
      <c r="G300" s="75"/>
      <c r="H300" s="75"/>
      <c r="I300" s="75"/>
      <c r="J300" s="75"/>
      <c r="K300" s="75"/>
      <c r="L300" s="75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</row>
    <row r="301" spans="1:28" x14ac:dyDescent="0.2">
      <c r="A301" s="75">
        <v>300</v>
      </c>
      <c r="B301" s="22" t="s">
        <v>456</v>
      </c>
      <c r="C301" s="13" t="s">
        <v>18</v>
      </c>
      <c r="D301" s="23">
        <v>45951</v>
      </c>
      <c r="E301" s="75"/>
      <c r="F301" s="13"/>
      <c r="G301" s="75"/>
      <c r="H301" s="75"/>
      <c r="I301" s="75"/>
      <c r="J301" s="75"/>
      <c r="K301" s="75"/>
      <c r="L301" s="75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</row>
    <row r="302" spans="1:28" x14ac:dyDescent="0.2">
      <c r="A302" s="75">
        <v>301</v>
      </c>
      <c r="B302" s="22" t="s">
        <v>457</v>
      </c>
      <c r="C302" s="13" t="s">
        <v>18</v>
      </c>
      <c r="D302" s="23">
        <v>45972</v>
      </c>
      <c r="E302" s="75"/>
      <c r="F302" s="13"/>
      <c r="G302" s="75"/>
      <c r="H302" s="75"/>
      <c r="I302" s="75"/>
      <c r="J302" s="75"/>
      <c r="K302" s="75"/>
      <c r="L302" s="75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</row>
    <row r="303" spans="1:28" x14ac:dyDescent="0.2">
      <c r="A303" s="75">
        <v>302</v>
      </c>
      <c r="B303" s="22" t="s">
        <v>458</v>
      </c>
      <c r="C303" s="13" t="s">
        <v>63</v>
      </c>
      <c r="D303" s="23">
        <v>45975</v>
      </c>
      <c r="E303" s="75"/>
      <c r="F303" s="13"/>
      <c r="G303" s="75"/>
      <c r="H303" s="75"/>
      <c r="I303" s="75"/>
      <c r="J303" s="75"/>
      <c r="K303" s="75"/>
      <c r="L303" s="75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</row>
    <row r="304" spans="1:28" x14ac:dyDescent="0.2">
      <c r="A304" s="75">
        <v>303</v>
      </c>
      <c r="B304" s="22" t="s">
        <v>460</v>
      </c>
      <c r="C304" s="13" t="s">
        <v>18</v>
      </c>
      <c r="D304" s="23">
        <v>45979</v>
      </c>
      <c r="E304" s="75"/>
      <c r="F304" s="13"/>
      <c r="G304" s="75"/>
      <c r="H304" s="75"/>
      <c r="I304" s="75"/>
      <c r="J304" s="75"/>
      <c r="K304" s="75"/>
      <c r="L304" s="75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</row>
    <row r="305" spans="1:28" x14ac:dyDescent="0.2">
      <c r="A305" s="75">
        <v>304</v>
      </c>
      <c r="B305" s="22" t="s">
        <v>461</v>
      </c>
      <c r="C305" s="13" t="s">
        <v>18</v>
      </c>
      <c r="D305" s="23">
        <v>45979</v>
      </c>
      <c r="E305" s="75"/>
      <c r="F305" s="13"/>
      <c r="G305" s="75"/>
      <c r="H305" s="75"/>
      <c r="I305" s="75"/>
      <c r="J305" s="75"/>
      <c r="K305" s="75"/>
      <c r="L305" s="75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</row>
    <row r="306" spans="1:28" x14ac:dyDescent="0.2">
      <c r="A306" s="75">
        <v>305</v>
      </c>
      <c r="B306" s="22" t="s">
        <v>462</v>
      </c>
      <c r="C306" s="13" t="s">
        <v>18</v>
      </c>
      <c r="D306" s="23">
        <v>45986</v>
      </c>
      <c r="E306" s="75"/>
      <c r="F306" s="13"/>
      <c r="G306" s="75"/>
      <c r="H306" s="75"/>
      <c r="I306" s="75"/>
      <c r="J306" s="75"/>
      <c r="K306" s="75"/>
      <c r="L306" s="75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</row>
    <row r="307" spans="1:28" x14ac:dyDescent="0.2">
      <c r="A307" s="75">
        <v>306</v>
      </c>
      <c r="B307" s="22" t="s">
        <v>464</v>
      </c>
      <c r="C307" s="13" t="s">
        <v>18</v>
      </c>
      <c r="D307" s="23">
        <v>45989</v>
      </c>
      <c r="E307" s="75"/>
      <c r="F307" s="13"/>
      <c r="G307" s="75"/>
      <c r="H307" s="75"/>
      <c r="I307" s="75"/>
      <c r="J307" s="75"/>
      <c r="K307" s="75"/>
      <c r="L307" s="75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</row>
    <row r="308" spans="1:28" x14ac:dyDescent="0.2">
      <c r="A308" s="75">
        <v>307</v>
      </c>
      <c r="B308" s="22" t="s">
        <v>465</v>
      </c>
      <c r="C308" s="13" t="s">
        <v>18</v>
      </c>
      <c r="D308" s="23">
        <v>45990</v>
      </c>
      <c r="E308" s="75"/>
      <c r="F308" s="13"/>
      <c r="G308" s="75"/>
      <c r="H308" s="75"/>
      <c r="I308" s="75"/>
      <c r="J308" s="75"/>
      <c r="K308" s="75"/>
      <c r="L308" s="75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</row>
    <row r="309" spans="1:28" x14ac:dyDescent="0.2">
      <c r="A309" s="75">
        <v>308</v>
      </c>
      <c r="B309" s="22" t="s">
        <v>466</v>
      </c>
      <c r="C309" s="13" t="s">
        <v>63</v>
      </c>
      <c r="D309" s="23">
        <v>45994</v>
      </c>
      <c r="E309" s="75"/>
      <c r="F309" s="13"/>
      <c r="G309" s="75"/>
      <c r="H309" s="75"/>
      <c r="I309" s="75"/>
      <c r="J309" s="75"/>
      <c r="K309" s="75"/>
      <c r="L309" s="75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</row>
    <row r="310" spans="1:28" x14ac:dyDescent="0.2">
      <c r="A310" s="75">
        <v>309</v>
      </c>
      <c r="B310" s="22" t="s">
        <v>467</v>
      </c>
      <c r="C310" s="13" t="s">
        <v>18</v>
      </c>
      <c r="D310" s="23">
        <v>45997</v>
      </c>
      <c r="E310" s="75"/>
      <c r="F310" s="13"/>
      <c r="G310" s="75"/>
      <c r="H310" s="75"/>
      <c r="I310" s="75"/>
      <c r="J310" s="75"/>
      <c r="K310" s="75"/>
      <c r="L310" s="75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</row>
    <row r="311" spans="1:28" x14ac:dyDescent="0.2">
      <c r="A311" s="75">
        <v>310</v>
      </c>
      <c r="B311" s="22" t="s">
        <v>468</v>
      </c>
      <c r="C311" s="13" t="s">
        <v>18</v>
      </c>
      <c r="D311" s="23">
        <v>46002</v>
      </c>
      <c r="E311" s="75"/>
      <c r="F311" s="13"/>
      <c r="G311" s="75"/>
      <c r="H311" s="75"/>
      <c r="I311" s="75"/>
      <c r="J311" s="75"/>
      <c r="K311" s="75"/>
      <c r="L311" s="75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</row>
    <row r="312" spans="1:28" x14ac:dyDescent="0.2">
      <c r="A312" s="75">
        <v>311</v>
      </c>
      <c r="B312" s="22" t="s">
        <v>469</v>
      </c>
      <c r="C312" s="13" t="s">
        <v>18</v>
      </c>
      <c r="D312" s="23">
        <v>46003</v>
      </c>
      <c r="E312" s="75"/>
      <c r="F312" s="13"/>
      <c r="G312" s="75"/>
      <c r="H312" s="75"/>
      <c r="I312" s="75"/>
      <c r="J312" s="75"/>
      <c r="K312" s="75"/>
      <c r="L312" s="75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</row>
    <row r="313" spans="1:28" x14ac:dyDescent="0.2">
      <c r="A313" s="75">
        <v>312</v>
      </c>
      <c r="B313" s="22" t="s">
        <v>470</v>
      </c>
      <c r="C313" s="13" t="s">
        <v>18</v>
      </c>
      <c r="D313" s="23">
        <v>46003</v>
      </c>
      <c r="E313" s="75"/>
      <c r="F313" s="13"/>
      <c r="G313" s="75"/>
      <c r="H313" s="75"/>
      <c r="I313" s="75"/>
      <c r="J313" s="75"/>
      <c r="K313" s="75"/>
      <c r="L313" s="75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</row>
    <row r="314" spans="1:28" x14ac:dyDescent="0.2">
      <c r="A314" s="75">
        <v>313</v>
      </c>
      <c r="B314" s="22" t="s">
        <v>471</v>
      </c>
      <c r="C314" s="13" t="s">
        <v>18</v>
      </c>
      <c r="D314" s="23">
        <v>46008</v>
      </c>
      <c r="E314" s="75"/>
      <c r="F314" s="13"/>
      <c r="G314" s="75"/>
      <c r="H314" s="75"/>
      <c r="I314" s="75"/>
      <c r="J314" s="75"/>
      <c r="K314" s="75"/>
      <c r="L314" s="75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</row>
    <row r="315" spans="1:28" x14ac:dyDescent="0.2">
      <c r="A315" s="75">
        <v>314</v>
      </c>
      <c r="B315" s="22" t="s">
        <v>472</v>
      </c>
      <c r="C315" s="13" t="s">
        <v>18</v>
      </c>
      <c r="D315" s="23">
        <v>46011</v>
      </c>
      <c r="E315" s="75"/>
      <c r="F315" s="13"/>
      <c r="G315" s="75"/>
      <c r="H315" s="75"/>
      <c r="I315" s="75"/>
      <c r="J315" s="75"/>
      <c r="K315" s="75"/>
      <c r="L315" s="75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</row>
    <row r="316" spans="1:28" x14ac:dyDescent="0.2">
      <c r="A316" s="75">
        <v>315</v>
      </c>
      <c r="B316" s="22" t="s">
        <v>473</v>
      </c>
      <c r="C316" s="13" t="s">
        <v>18</v>
      </c>
      <c r="D316" s="23">
        <v>46016</v>
      </c>
      <c r="E316" s="75"/>
      <c r="F316" s="13"/>
      <c r="G316" s="75"/>
      <c r="H316" s="75"/>
      <c r="I316" s="75"/>
      <c r="J316" s="75"/>
      <c r="K316" s="75"/>
      <c r="L316" s="75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</row>
    <row r="317" spans="1:28" x14ac:dyDescent="0.2">
      <c r="A317" s="75">
        <v>316</v>
      </c>
      <c r="B317" s="22" t="s">
        <v>474</v>
      </c>
      <c r="C317" s="13" t="s">
        <v>18</v>
      </c>
      <c r="D317" s="23">
        <v>46018</v>
      </c>
      <c r="E317" s="75"/>
      <c r="F317" s="13"/>
      <c r="G317" s="75"/>
      <c r="H317" s="75"/>
      <c r="I317" s="75"/>
      <c r="J317" s="75"/>
      <c r="K317" s="75"/>
      <c r="L317" s="75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</row>
    <row r="318" spans="1:28" x14ac:dyDescent="0.2">
      <c r="A318" s="75">
        <v>317</v>
      </c>
      <c r="B318" s="22" t="s">
        <v>475</v>
      </c>
      <c r="C318" s="13" t="s">
        <v>18</v>
      </c>
      <c r="D318" s="23">
        <v>46026</v>
      </c>
      <c r="E318" s="75"/>
      <c r="F318" s="13"/>
      <c r="G318" s="75"/>
      <c r="H318" s="75"/>
      <c r="I318" s="75"/>
      <c r="J318" s="75"/>
      <c r="K318" s="75"/>
      <c r="L318" s="75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</row>
    <row r="319" spans="1:28" x14ac:dyDescent="0.2">
      <c r="A319" s="75">
        <v>318</v>
      </c>
      <c r="B319" s="22" t="s">
        <v>476</v>
      </c>
      <c r="C319" s="13" t="s">
        <v>18</v>
      </c>
      <c r="D319" s="23">
        <v>46030</v>
      </c>
      <c r="E319" s="75"/>
      <c r="F319" s="13"/>
      <c r="G319" s="75"/>
      <c r="H319" s="75"/>
      <c r="I319" s="75"/>
      <c r="J319" s="75"/>
      <c r="K319" s="75"/>
      <c r="L319" s="75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</row>
    <row r="320" spans="1:28" x14ac:dyDescent="0.2">
      <c r="A320" s="75">
        <v>319</v>
      </c>
      <c r="B320" s="22" t="s">
        <v>477</v>
      </c>
      <c r="C320" s="13" t="s">
        <v>18</v>
      </c>
      <c r="D320" s="23">
        <v>46034</v>
      </c>
      <c r="E320" s="75"/>
      <c r="F320" s="13"/>
      <c r="G320" s="75"/>
      <c r="H320" s="75"/>
      <c r="I320" s="75"/>
      <c r="J320" s="75"/>
      <c r="K320" s="75"/>
      <c r="L320" s="75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</row>
    <row r="321" spans="1:28" x14ac:dyDescent="0.2">
      <c r="A321" s="75">
        <v>320</v>
      </c>
      <c r="B321" s="22" t="s">
        <v>478</v>
      </c>
      <c r="C321" s="13" t="s">
        <v>18</v>
      </c>
      <c r="D321" s="23">
        <v>46036</v>
      </c>
      <c r="E321" s="75"/>
      <c r="F321" s="13"/>
      <c r="G321" s="75"/>
      <c r="H321" s="75"/>
      <c r="I321" s="75"/>
      <c r="J321" s="75"/>
      <c r="K321" s="75"/>
      <c r="L321" s="75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</row>
    <row r="322" spans="1:28" x14ac:dyDescent="0.2">
      <c r="A322" s="75">
        <v>321</v>
      </c>
      <c r="B322" s="22" t="s">
        <v>479</v>
      </c>
      <c r="C322" s="13" t="s">
        <v>18</v>
      </c>
      <c r="D322" s="23">
        <v>46041</v>
      </c>
      <c r="E322" s="75"/>
      <c r="F322" s="13"/>
      <c r="G322" s="75"/>
      <c r="H322" s="75"/>
      <c r="I322" s="75"/>
      <c r="J322" s="75"/>
      <c r="K322" s="75"/>
      <c r="L322" s="75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</row>
    <row r="323" spans="1:28" x14ac:dyDescent="0.2">
      <c r="A323" s="75">
        <v>322</v>
      </c>
      <c r="B323" s="22" t="s">
        <v>480</v>
      </c>
      <c r="C323" s="13" t="s">
        <v>63</v>
      </c>
      <c r="D323" s="23">
        <v>46047</v>
      </c>
      <c r="E323" s="75"/>
      <c r="F323" s="13"/>
      <c r="G323" s="75"/>
      <c r="H323" s="75"/>
      <c r="I323" s="75"/>
      <c r="J323" s="75"/>
      <c r="K323" s="75"/>
      <c r="L323" s="75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</row>
    <row r="324" spans="1:28" x14ac:dyDescent="0.2">
      <c r="A324" s="75">
        <v>323</v>
      </c>
      <c r="B324" s="22" t="s">
        <v>481</v>
      </c>
      <c r="C324" s="13" t="s">
        <v>18</v>
      </c>
      <c r="D324" s="23">
        <v>46050</v>
      </c>
      <c r="E324" s="75"/>
      <c r="F324" s="13"/>
      <c r="G324" s="75"/>
      <c r="H324" s="75"/>
      <c r="I324" s="75"/>
      <c r="J324" s="75"/>
      <c r="K324" s="75"/>
      <c r="L324" s="75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</row>
    <row r="325" spans="1:28" x14ac:dyDescent="0.2">
      <c r="A325" s="75">
        <v>324</v>
      </c>
      <c r="B325" s="22" t="s">
        <v>483</v>
      </c>
      <c r="C325" s="13" t="s">
        <v>18</v>
      </c>
      <c r="D325" s="23">
        <v>46050</v>
      </c>
      <c r="E325" s="75"/>
      <c r="F325" s="13"/>
      <c r="G325" s="75"/>
      <c r="H325" s="75"/>
      <c r="I325" s="75"/>
      <c r="J325" s="75"/>
      <c r="K325" s="75"/>
      <c r="L325" s="75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</row>
    <row r="326" spans="1:28" x14ac:dyDescent="0.2">
      <c r="A326" s="75">
        <v>325</v>
      </c>
      <c r="B326" s="22" t="s">
        <v>484</v>
      </c>
      <c r="C326" s="13" t="s">
        <v>18</v>
      </c>
      <c r="D326" s="23">
        <v>46061</v>
      </c>
      <c r="E326" s="75"/>
      <c r="F326" s="13"/>
      <c r="G326" s="75"/>
      <c r="H326" s="75"/>
      <c r="I326" s="75"/>
      <c r="J326" s="75"/>
      <c r="K326" s="75"/>
      <c r="L326" s="75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</row>
    <row r="327" spans="1:28" x14ac:dyDescent="0.2">
      <c r="A327" s="75">
        <v>326</v>
      </c>
      <c r="B327" s="22" t="s">
        <v>566</v>
      </c>
      <c r="C327" s="13" t="s">
        <v>18</v>
      </c>
      <c r="D327" s="23">
        <v>46062</v>
      </c>
      <c r="E327" s="75"/>
      <c r="F327" s="75"/>
      <c r="G327" s="75"/>
      <c r="H327" s="75"/>
      <c r="I327" s="75"/>
      <c r="J327" s="75"/>
      <c r="K327" s="75"/>
      <c r="L327" s="75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</row>
    <row r="328" spans="1:28" x14ac:dyDescent="0.2">
      <c r="A328" s="75">
        <v>327</v>
      </c>
      <c r="B328" s="22" t="s">
        <v>485</v>
      </c>
      <c r="C328" s="13" t="s">
        <v>18</v>
      </c>
      <c r="D328" s="23">
        <v>46062</v>
      </c>
      <c r="E328" s="75"/>
      <c r="F328" s="13"/>
      <c r="G328" s="75"/>
      <c r="H328" s="75"/>
      <c r="I328" s="75"/>
      <c r="J328" s="75"/>
      <c r="K328" s="75"/>
      <c r="L328" s="75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</row>
    <row r="329" spans="1:28" x14ac:dyDescent="0.2">
      <c r="A329" s="75">
        <v>328</v>
      </c>
      <c r="B329" s="22" t="s">
        <v>486</v>
      </c>
      <c r="C329" s="13" t="s">
        <v>18</v>
      </c>
      <c r="D329" s="23">
        <v>46065</v>
      </c>
      <c r="E329" s="75"/>
      <c r="F329" s="13"/>
      <c r="G329" s="75"/>
      <c r="H329" s="75"/>
      <c r="I329" s="75"/>
      <c r="J329" s="75"/>
      <c r="K329" s="75"/>
      <c r="L329" s="75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</row>
    <row r="330" spans="1:28" x14ac:dyDescent="0.2">
      <c r="A330" s="75">
        <v>329</v>
      </c>
      <c r="B330" s="22" t="s">
        <v>487</v>
      </c>
      <c r="C330" s="13" t="s">
        <v>18</v>
      </c>
      <c r="D330" s="23">
        <v>46066</v>
      </c>
      <c r="E330" s="75"/>
      <c r="F330" s="13"/>
      <c r="G330" s="75"/>
      <c r="H330" s="75"/>
      <c r="I330" s="75"/>
      <c r="J330" s="75"/>
      <c r="K330" s="75"/>
      <c r="L330" s="75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</row>
    <row r="331" spans="1:28" x14ac:dyDescent="0.2">
      <c r="A331" s="75">
        <v>330</v>
      </c>
      <c r="B331" s="22" t="s">
        <v>488</v>
      </c>
      <c r="C331" s="13" t="s">
        <v>18</v>
      </c>
      <c r="D331" s="23">
        <v>46068</v>
      </c>
      <c r="E331" s="75"/>
      <c r="F331" s="13"/>
      <c r="G331" s="75"/>
      <c r="H331" s="75"/>
      <c r="I331" s="75"/>
      <c r="J331" s="75"/>
      <c r="K331" s="75"/>
      <c r="L331" s="75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</row>
    <row r="332" spans="1:28" x14ac:dyDescent="0.2">
      <c r="A332" s="75">
        <v>331</v>
      </c>
      <c r="B332" s="22" t="s">
        <v>491</v>
      </c>
      <c r="C332" s="13" t="s">
        <v>18</v>
      </c>
      <c r="D332" s="23">
        <v>46078</v>
      </c>
      <c r="E332" s="75"/>
      <c r="F332" s="13"/>
      <c r="G332" s="75"/>
      <c r="H332" s="75"/>
      <c r="I332" s="75"/>
      <c r="J332" s="75"/>
      <c r="K332" s="75"/>
      <c r="L332" s="75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</row>
    <row r="333" spans="1:28" x14ac:dyDescent="0.2">
      <c r="A333" s="75">
        <v>332</v>
      </c>
      <c r="B333" s="22" t="s">
        <v>493</v>
      </c>
      <c r="C333" s="13" t="s">
        <v>18</v>
      </c>
      <c r="D333" s="23">
        <v>46079</v>
      </c>
      <c r="E333" s="75"/>
      <c r="F333" s="13"/>
      <c r="G333" s="75"/>
      <c r="H333" s="75"/>
      <c r="I333" s="75"/>
      <c r="J333" s="75"/>
      <c r="K333" s="75"/>
      <c r="L333" s="75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</row>
    <row r="334" spans="1:28" x14ac:dyDescent="0.2">
      <c r="A334" s="75">
        <v>333</v>
      </c>
      <c r="B334" s="22" t="s">
        <v>494</v>
      </c>
      <c r="C334" s="13" t="s">
        <v>18</v>
      </c>
      <c r="D334" s="23">
        <v>46081</v>
      </c>
      <c r="E334" s="75"/>
      <c r="F334" s="13"/>
      <c r="G334" s="75"/>
      <c r="H334" s="75"/>
      <c r="I334" s="75"/>
      <c r="J334" s="75"/>
      <c r="K334" s="75"/>
      <c r="L334" s="75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</row>
    <row r="335" spans="1:28" x14ac:dyDescent="0.2">
      <c r="A335" s="75">
        <v>334</v>
      </c>
      <c r="B335" s="22" t="s">
        <v>494</v>
      </c>
      <c r="C335" s="13" t="s">
        <v>18</v>
      </c>
      <c r="D335" s="23">
        <v>46081</v>
      </c>
      <c r="E335" s="75"/>
      <c r="F335" s="75"/>
      <c r="G335" s="75"/>
      <c r="H335" s="75"/>
      <c r="I335" s="75"/>
      <c r="J335" s="75"/>
      <c r="K335" s="75"/>
      <c r="L335" s="75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</row>
    <row r="336" spans="1:28" x14ac:dyDescent="0.2">
      <c r="A336" s="75">
        <v>335</v>
      </c>
      <c r="B336" s="22" t="s">
        <v>496</v>
      </c>
      <c r="C336" s="13" t="s">
        <v>18</v>
      </c>
      <c r="D336" s="23">
        <v>46084</v>
      </c>
      <c r="E336" s="75"/>
      <c r="F336" s="13"/>
      <c r="G336" s="75"/>
      <c r="H336" s="75"/>
      <c r="I336" s="75"/>
      <c r="J336" s="75"/>
      <c r="K336" s="75"/>
      <c r="L336" s="75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</row>
    <row r="337" spans="1:28" x14ac:dyDescent="0.2">
      <c r="A337" s="75">
        <v>336</v>
      </c>
      <c r="B337" s="22" t="s">
        <v>497</v>
      </c>
      <c r="C337" s="13" t="s">
        <v>18</v>
      </c>
      <c r="D337" s="23">
        <v>46086</v>
      </c>
      <c r="E337" s="75"/>
      <c r="F337" s="13"/>
      <c r="G337" s="75"/>
      <c r="H337" s="75"/>
      <c r="I337" s="75"/>
      <c r="J337" s="75"/>
      <c r="K337" s="75"/>
      <c r="L337" s="75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</row>
    <row r="338" spans="1:28" x14ac:dyDescent="0.2">
      <c r="A338" s="75">
        <v>337</v>
      </c>
      <c r="B338" s="22" t="s">
        <v>498</v>
      </c>
      <c r="C338" s="13" t="s">
        <v>18</v>
      </c>
      <c r="D338" s="23">
        <v>46086</v>
      </c>
      <c r="E338" s="75"/>
      <c r="F338" s="13"/>
      <c r="G338" s="75"/>
      <c r="H338" s="75"/>
      <c r="I338" s="75"/>
      <c r="J338" s="75"/>
      <c r="K338" s="75"/>
      <c r="L338" s="75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</row>
    <row r="339" spans="1:28" x14ac:dyDescent="0.2">
      <c r="A339" s="75">
        <v>338</v>
      </c>
      <c r="B339" s="22" t="s">
        <v>499</v>
      </c>
      <c r="C339" s="13" t="s">
        <v>18</v>
      </c>
      <c r="D339" s="23">
        <v>46086</v>
      </c>
      <c r="E339" s="75"/>
      <c r="F339" s="13"/>
      <c r="G339" s="75"/>
      <c r="H339" s="75"/>
      <c r="I339" s="75"/>
      <c r="J339" s="75"/>
      <c r="K339" s="75"/>
      <c r="L339" s="75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</row>
    <row r="340" spans="1:28" x14ac:dyDescent="0.2">
      <c r="A340" s="75">
        <v>339</v>
      </c>
      <c r="B340" s="22" t="s">
        <v>500</v>
      </c>
      <c r="C340" s="13" t="s">
        <v>63</v>
      </c>
      <c r="D340" s="23">
        <v>46087</v>
      </c>
      <c r="E340" s="75"/>
      <c r="F340" s="13"/>
      <c r="G340" s="75"/>
      <c r="H340" s="75"/>
      <c r="I340" s="75"/>
      <c r="J340" s="75"/>
      <c r="K340" s="75"/>
      <c r="L340" s="75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</row>
    <row r="341" spans="1:28" x14ac:dyDescent="0.2">
      <c r="A341" s="75">
        <v>340</v>
      </c>
      <c r="B341" s="22" t="s">
        <v>501</v>
      </c>
      <c r="C341" s="13" t="s">
        <v>18</v>
      </c>
      <c r="D341" s="23">
        <v>46093</v>
      </c>
      <c r="E341" s="75"/>
      <c r="F341" s="13"/>
      <c r="G341" s="75"/>
      <c r="H341" s="75"/>
      <c r="I341" s="75"/>
      <c r="J341" s="75"/>
      <c r="K341" s="75"/>
      <c r="L341" s="75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</row>
    <row r="342" spans="1:28" x14ac:dyDescent="0.2">
      <c r="A342" s="75">
        <v>341</v>
      </c>
      <c r="B342" s="22" t="s">
        <v>502</v>
      </c>
      <c r="C342" s="13" t="s">
        <v>18</v>
      </c>
      <c r="D342" s="23">
        <v>46095</v>
      </c>
      <c r="E342" s="75"/>
      <c r="F342" s="13"/>
      <c r="G342" s="75"/>
      <c r="H342" s="75"/>
      <c r="I342" s="75"/>
      <c r="J342" s="75"/>
      <c r="K342" s="75"/>
      <c r="L342" s="75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</row>
    <row r="343" spans="1:28" x14ac:dyDescent="0.2">
      <c r="A343" s="75">
        <v>342</v>
      </c>
      <c r="B343" s="22" t="s">
        <v>503</v>
      </c>
      <c r="C343" s="13" t="s">
        <v>18</v>
      </c>
      <c r="D343" s="23">
        <v>46096</v>
      </c>
      <c r="E343" s="75"/>
      <c r="F343" s="13"/>
      <c r="G343" s="75"/>
      <c r="H343" s="75"/>
      <c r="I343" s="75"/>
      <c r="J343" s="75"/>
      <c r="K343" s="75"/>
      <c r="L343" s="75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</row>
    <row r="344" spans="1:28" x14ac:dyDescent="0.2">
      <c r="A344" s="75">
        <v>343</v>
      </c>
      <c r="B344" s="22" t="s">
        <v>504</v>
      </c>
      <c r="C344" s="13" t="s">
        <v>18</v>
      </c>
      <c r="D344" s="23">
        <v>46097</v>
      </c>
      <c r="E344" s="75"/>
      <c r="F344" s="13"/>
      <c r="G344" s="75"/>
      <c r="H344" s="75"/>
      <c r="I344" s="75"/>
      <c r="J344" s="75"/>
      <c r="K344" s="75"/>
      <c r="L344" s="75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</row>
    <row r="345" spans="1:28" x14ac:dyDescent="0.2">
      <c r="A345" s="75">
        <v>344</v>
      </c>
      <c r="B345" s="22" t="s">
        <v>505</v>
      </c>
      <c r="C345" s="13" t="s">
        <v>18</v>
      </c>
      <c r="D345" s="23">
        <v>46098</v>
      </c>
      <c r="E345" s="75"/>
      <c r="F345" s="13"/>
      <c r="G345" s="75"/>
      <c r="H345" s="75"/>
      <c r="I345" s="75"/>
      <c r="J345" s="75"/>
      <c r="K345" s="75"/>
      <c r="L345" s="75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</row>
    <row r="346" spans="1:28" x14ac:dyDescent="0.2">
      <c r="A346" s="75">
        <v>345</v>
      </c>
      <c r="B346" s="22" t="s">
        <v>507</v>
      </c>
      <c r="C346" s="13" t="s">
        <v>18</v>
      </c>
      <c r="D346" s="23">
        <v>46098</v>
      </c>
      <c r="E346" s="75"/>
      <c r="F346" s="13"/>
      <c r="G346" s="75"/>
      <c r="H346" s="75"/>
      <c r="I346" s="75"/>
      <c r="J346" s="75"/>
      <c r="K346" s="75"/>
      <c r="L346" s="75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</row>
    <row r="347" spans="1:28" x14ac:dyDescent="0.2">
      <c r="A347" s="75">
        <v>346</v>
      </c>
      <c r="B347" s="22" t="s">
        <v>508</v>
      </c>
      <c r="C347" s="13" t="s">
        <v>18</v>
      </c>
      <c r="D347" s="23">
        <v>46111</v>
      </c>
      <c r="E347" s="75"/>
      <c r="F347" s="13"/>
      <c r="G347" s="75"/>
      <c r="H347" s="75"/>
      <c r="I347" s="75"/>
      <c r="J347" s="75"/>
      <c r="K347" s="75"/>
      <c r="L347" s="75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</row>
    <row r="348" spans="1:28" x14ac:dyDescent="0.2">
      <c r="A348" s="75">
        <v>347</v>
      </c>
      <c r="B348" s="22" t="s">
        <v>509</v>
      </c>
      <c r="C348" s="13" t="s">
        <v>73</v>
      </c>
      <c r="D348" s="23">
        <v>46116</v>
      </c>
      <c r="E348" s="75"/>
      <c r="F348" s="13"/>
      <c r="G348" s="75"/>
      <c r="H348" s="75"/>
      <c r="I348" s="75"/>
      <c r="J348" s="75"/>
      <c r="K348" s="75"/>
      <c r="L348" s="75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</row>
    <row r="349" spans="1:28" x14ac:dyDescent="0.2">
      <c r="A349" s="75">
        <v>348</v>
      </c>
      <c r="B349" s="22" t="s">
        <v>511</v>
      </c>
      <c r="C349" s="13" t="s">
        <v>18</v>
      </c>
      <c r="D349" s="23">
        <v>46117</v>
      </c>
      <c r="E349" s="75"/>
      <c r="F349" s="13"/>
      <c r="G349" s="75"/>
      <c r="H349" s="75"/>
      <c r="I349" s="75"/>
      <c r="J349" s="75"/>
      <c r="K349" s="75"/>
      <c r="L349" s="75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</row>
    <row r="350" spans="1:28" x14ac:dyDescent="0.2">
      <c r="A350" s="75">
        <v>349</v>
      </c>
      <c r="B350" s="22" t="s">
        <v>543</v>
      </c>
      <c r="C350" s="13" t="s">
        <v>18</v>
      </c>
      <c r="D350" s="23">
        <v>46128</v>
      </c>
      <c r="E350" s="75"/>
      <c r="F350" s="13"/>
      <c r="G350" s="75"/>
      <c r="H350" s="75"/>
      <c r="I350" s="75"/>
      <c r="J350" s="75"/>
      <c r="K350" s="75"/>
      <c r="L350" s="75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</row>
    <row r="351" spans="1:28" x14ac:dyDescent="0.2">
      <c r="A351" s="75">
        <v>350</v>
      </c>
      <c r="B351" s="22" t="s">
        <v>512</v>
      </c>
      <c r="C351" s="13" t="s">
        <v>18</v>
      </c>
      <c r="D351" s="23">
        <v>46130</v>
      </c>
      <c r="E351" s="75"/>
      <c r="F351" s="13"/>
      <c r="G351" s="75"/>
      <c r="H351" s="75"/>
      <c r="I351" s="75"/>
      <c r="J351" s="75"/>
      <c r="K351" s="75"/>
      <c r="L351" s="75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</row>
    <row r="352" spans="1:28" x14ac:dyDescent="0.2">
      <c r="A352" s="75">
        <v>351</v>
      </c>
      <c r="B352" s="22" t="s">
        <v>513</v>
      </c>
      <c r="C352" s="13" t="s">
        <v>18</v>
      </c>
      <c r="D352" s="23">
        <v>46135</v>
      </c>
      <c r="E352" s="75"/>
      <c r="F352" s="13"/>
      <c r="G352" s="75"/>
      <c r="H352" s="75"/>
      <c r="I352" s="75"/>
      <c r="J352" s="75"/>
      <c r="K352" s="75"/>
      <c r="L352" s="75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</row>
    <row r="353" spans="1:28" x14ac:dyDescent="0.2">
      <c r="A353" s="75">
        <v>352</v>
      </c>
      <c r="B353" s="22" t="s">
        <v>514</v>
      </c>
      <c r="C353" s="13" t="s">
        <v>18</v>
      </c>
      <c r="D353" s="23">
        <v>46138</v>
      </c>
      <c r="E353" s="75"/>
      <c r="F353" s="13"/>
      <c r="G353" s="75"/>
      <c r="H353" s="75"/>
      <c r="I353" s="75"/>
      <c r="J353" s="75"/>
      <c r="K353" s="75"/>
      <c r="L353" s="75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</row>
    <row r="354" spans="1:28" x14ac:dyDescent="0.2">
      <c r="A354" s="75">
        <v>353</v>
      </c>
      <c r="B354" s="22" t="s">
        <v>515</v>
      </c>
      <c r="C354" s="13" t="s">
        <v>18</v>
      </c>
      <c r="D354" s="23">
        <v>46139</v>
      </c>
      <c r="E354" s="75"/>
      <c r="F354" s="13"/>
      <c r="G354" s="75"/>
      <c r="H354" s="75"/>
      <c r="I354" s="75"/>
      <c r="J354" s="75"/>
      <c r="K354" s="75"/>
      <c r="L354" s="75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</row>
    <row r="355" spans="1:28" x14ac:dyDescent="0.2">
      <c r="A355" s="75">
        <v>354</v>
      </c>
      <c r="B355" s="22" t="s">
        <v>516</v>
      </c>
      <c r="C355" s="13" t="s">
        <v>18</v>
      </c>
      <c r="D355" s="23">
        <v>46140</v>
      </c>
      <c r="E355" s="75"/>
      <c r="F355" s="13"/>
      <c r="G355" s="75"/>
      <c r="H355" s="75"/>
      <c r="I355" s="75"/>
      <c r="J355" s="75"/>
      <c r="K355" s="75"/>
      <c r="L355" s="75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</row>
    <row r="356" spans="1:28" x14ac:dyDescent="0.2">
      <c r="A356" s="75">
        <v>355</v>
      </c>
      <c r="B356" s="22" t="s">
        <v>517</v>
      </c>
      <c r="C356" s="13" t="s">
        <v>18</v>
      </c>
      <c r="D356" s="23">
        <v>46140</v>
      </c>
      <c r="E356" s="75"/>
      <c r="F356" s="13"/>
      <c r="G356" s="75"/>
      <c r="H356" s="75"/>
      <c r="I356" s="75"/>
      <c r="J356" s="75"/>
      <c r="K356" s="75"/>
      <c r="L356" s="75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</row>
    <row r="357" spans="1:28" x14ac:dyDescent="0.2">
      <c r="A357" s="75">
        <v>356</v>
      </c>
      <c r="B357" s="22" t="s">
        <v>518</v>
      </c>
      <c r="C357" s="13" t="s">
        <v>18</v>
      </c>
      <c r="D357" s="23">
        <v>46142</v>
      </c>
      <c r="E357" s="75"/>
      <c r="F357" s="13"/>
      <c r="G357" s="75"/>
      <c r="H357" s="75"/>
      <c r="I357" s="75"/>
      <c r="J357" s="75"/>
      <c r="K357" s="75"/>
      <c r="L357" s="75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</row>
    <row r="358" spans="1:28" x14ac:dyDescent="0.2">
      <c r="A358" s="75">
        <v>357</v>
      </c>
      <c r="B358" s="22" t="s">
        <v>519</v>
      </c>
      <c r="C358" s="13" t="s">
        <v>18</v>
      </c>
      <c r="D358" s="23">
        <v>46143</v>
      </c>
      <c r="E358" s="75"/>
      <c r="F358" s="13"/>
      <c r="G358" s="75"/>
      <c r="H358" s="75"/>
      <c r="I358" s="75"/>
      <c r="J358" s="75"/>
      <c r="K358" s="75"/>
      <c r="L358" s="75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</row>
    <row r="359" spans="1:28" x14ac:dyDescent="0.2">
      <c r="A359" s="75">
        <v>358</v>
      </c>
      <c r="B359" s="22" t="s">
        <v>520</v>
      </c>
      <c r="C359" s="13" t="s">
        <v>18</v>
      </c>
      <c r="D359" s="23">
        <v>46143</v>
      </c>
      <c r="E359" s="75"/>
      <c r="F359" s="13"/>
      <c r="G359" s="75"/>
      <c r="H359" s="75"/>
      <c r="I359" s="75"/>
      <c r="J359" s="75"/>
      <c r="K359" s="75"/>
      <c r="L359" s="75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</row>
    <row r="360" spans="1:28" x14ac:dyDescent="0.2">
      <c r="A360" s="75">
        <v>359</v>
      </c>
      <c r="B360" s="58" t="s">
        <v>562</v>
      </c>
      <c r="C360" s="59" t="s">
        <v>18</v>
      </c>
      <c r="D360" s="76">
        <v>46144</v>
      </c>
      <c r="E360" s="75"/>
      <c r="F360" s="59"/>
      <c r="G360" s="75"/>
      <c r="H360" s="75"/>
      <c r="I360" s="75"/>
      <c r="J360" s="75"/>
      <c r="K360" s="75"/>
      <c r="L360" s="75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</row>
    <row r="361" spans="1:28" x14ac:dyDescent="0.2">
      <c r="A361" s="75">
        <v>360</v>
      </c>
      <c r="B361" s="22" t="s">
        <v>521</v>
      </c>
      <c r="C361" s="13" t="s">
        <v>18</v>
      </c>
      <c r="D361" s="23">
        <v>46147</v>
      </c>
      <c r="E361" s="75"/>
      <c r="F361" s="13"/>
      <c r="G361" s="75"/>
      <c r="H361" s="75"/>
      <c r="I361" s="75"/>
      <c r="J361" s="75"/>
      <c r="K361" s="75"/>
      <c r="L361" s="75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</row>
    <row r="362" spans="1:28" x14ac:dyDescent="0.2">
      <c r="A362" s="75">
        <v>361</v>
      </c>
      <c r="B362" s="22" t="s">
        <v>522</v>
      </c>
      <c r="C362" s="13" t="s">
        <v>18</v>
      </c>
      <c r="D362" s="23">
        <v>46147</v>
      </c>
      <c r="E362" s="75"/>
      <c r="F362" s="13"/>
      <c r="G362" s="75"/>
      <c r="H362" s="75"/>
      <c r="I362" s="75"/>
      <c r="J362" s="75"/>
      <c r="K362" s="75"/>
      <c r="L362" s="75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</row>
    <row r="363" spans="1:28" x14ac:dyDescent="0.2">
      <c r="A363" s="75">
        <v>362</v>
      </c>
      <c r="B363" s="22" t="s">
        <v>523</v>
      </c>
      <c r="C363" s="13" t="s">
        <v>18</v>
      </c>
      <c r="D363" s="23">
        <v>46147</v>
      </c>
      <c r="E363" s="75"/>
      <c r="F363" s="13"/>
      <c r="G363" s="75"/>
      <c r="H363" s="75"/>
      <c r="I363" s="75"/>
      <c r="J363" s="75"/>
      <c r="K363" s="75"/>
      <c r="L363" s="75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</row>
    <row r="364" spans="1:28" x14ac:dyDescent="0.2">
      <c r="A364" s="75">
        <v>363</v>
      </c>
      <c r="B364" s="22" t="s">
        <v>524</v>
      </c>
      <c r="C364" s="13" t="s">
        <v>18</v>
      </c>
      <c r="D364" s="23">
        <v>46151</v>
      </c>
      <c r="E364" s="75"/>
      <c r="F364" s="13"/>
      <c r="G364" s="75"/>
      <c r="H364" s="75"/>
      <c r="I364" s="75"/>
      <c r="J364" s="75"/>
      <c r="K364" s="75"/>
      <c r="L364" s="75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</row>
    <row r="365" spans="1:28" x14ac:dyDescent="0.2">
      <c r="A365" s="75">
        <v>364</v>
      </c>
      <c r="B365" s="22" t="s">
        <v>525</v>
      </c>
      <c r="C365" s="13" t="s">
        <v>63</v>
      </c>
      <c r="D365" s="23">
        <v>46151</v>
      </c>
      <c r="E365" s="75"/>
      <c r="F365" s="13"/>
      <c r="G365" s="75"/>
      <c r="H365" s="75"/>
      <c r="I365" s="75"/>
      <c r="J365" s="75"/>
      <c r="K365" s="75"/>
      <c r="L365" s="75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</row>
    <row r="366" spans="1:28" x14ac:dyDescent="0.2">
      <c r="A366" s="75">
        <v>365</v>
      </c>
      <c r="B366" s="22" t="s">
        <v>526</v>
      </c>
      <c r="C366" s="13" t="s">
        <v>18</v>
      </c>
      <c r="D366" s="23">
        <v>46160</v>
      </c>
      <c r="E366" s="75"/>
      <c r="F366" s="13"/>
      <c r="G366" s="75"/>
      <c r="H366" s="75"/>
      <c r="I366" s="75"/>
      <c r="J366" s="75"/>
      <c r="K366" s="75"/>
      <c r="L366" s="75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</row>
    <row r="367" spans="1:28" x14ac:dyDescent="0.2">
      <c r="A367" s="75">
        <v>366</v>
      </c>
      <c r="B367" s="22" t="s">
        <v>527</v>
      </c>
      <c r="C367" s="13" t="s">
        <v>18</v>
      </c>
      <c r="D367" s="23">
        <v>46164</v>
      </c>
      <c r="E367" s="75"/>
      <c r="F367" s="13"/>
      <c r="G367" s="75"/>
      <c r="H367" s="75"/>
      <c r="I367" s="75"/>
      <c r="J367" s="75"/>
      <c r="K367" s="75"/>
      <c r="L367" s="75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</row>
    <row r="368" spans="1:28" x14ac:dyDescent="0.2">
      <c r="A368" s="75">
        <v>367</v>
      </c>
      <c r="B368" s="22" t="s">
        <v>529</v>
      </c>
      <c r="C368" s="13" t="s">
        <v>18</v>
      </c>
      <c r="D368" s="23">
        <v>46170</v>
      </c>
      <c r="E368" s="75"/>
      <c r="F368" s="13"/>
      <c r="G368" s="75"/>
      <c r="H368" s="75"/>
      <c r="I368" s="75"/>
      <c r="J368" s="75"/>
      <c r="K368" s="75"/>
      <c r="L368" s="75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</row>
    <row r="369" spans="1:28" x14ac:dyDescent="0.2">
      <c r="A369" s="75">
        <v>368</v>
      </c>
      <c r="B369" s="22" t="s">
        <v>530</v>
      </c>
      <c r="C369" s="13" t="s">
        <v>18</v>
      </c>
      <c r="D369" s="23">
        <v>46167</v>
      </c>
      <c r="E369" s="75"/>
      <c r="F369" s="13"/>
      <c r="G369" s="75"/>
      <c r="H369" s="75"/>
      <c r="I369" s="75"/>
      <c r="J369" s="75"/>
      <c r="K369" s="75"/>
      <c r="L369" s="75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</row>
    <row r="370" spans="1:28" x14ac:dyDescent="0.2">
      <c r="A370" s="75">
        <v>369</v>
      </c>
      <c r="B370" s="22" t="s">
        <v>531</v>
      </c>
      <c r="C370" s="13" t="s">
        <v>18</v>
      </c>
      <c r="D370" s="23">
        <v>46185</v>
      </c>
      <c r="E370" s="75"/>
      <c r="F370" s="13"/>
      <c r="G370" s="75"/>
      <c r="H370" s="75"/>
      <c r="I370" s="75"/>
      <c r="J370" s="75"/>
      <c r="K370" s="75"/>
      <c r="L370" s="75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</row>
    <row r="371" spans="1:28" x14ac:dyDescent="0.2">
      <c r="A371" s="75">
        <v>370</v>
      </c>
      <c r="B371" s="22" t="s">
        <v>534</v>
      </c>
      <c r="C371" s="13" t="s">
        <v>18</v>
      </c>
      <c r="D371" s="23">
        <v>46192</v>
      </c>
      <c r="E371" s="75"/>
      <c r="F371" s="13"/>
      <c r="G371" s="75"/>
      <c r="H371" s="75"/>
      <c r="I371" s="75"/>
      <c r="J371" s="75"/>
      <c r="K371" s="75"/>
      <c r="L371" s="75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</row>
    <row r="372" spans="1:28" x14ac:dyDescent="0.2">
      <c r="A372" s="75">
        <v>371</v>
      </c>
      <c r="B372" s="22" t="s">
        <v>536</v>
      </c>
      <c r="C372" s="13" t="s">
        <v>18</v>
      </c>
      <c r="D372" s="23">
        <v>46206</v>
      </c>
      <c r="E372" s="75"/>
      <c r="F372" s="13"/>
      <c r="G372" s="75"/>
      <c r="H372" s="75"/>
      <c r="I372" s="75"/>
      <c r="J372" s="75"/>
      <c r="K372" s="75"/>
      <c r="L372" s="75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</row>
    <row r="373" spans="1:28" x14ac:dyDescent="0.2">
      <c r="A373" s="75">
        <v>372</v>
      </c>
      <c r="B373" s="22" t="s">
        <v>538</v>
      </c>
      <c r="C373" s="13" t="s">
        <v>18</v>
      </c>
      <c r="D373" s="23">
        <v>46218</v>
      </c>
      <c r="E373" s="75"/>
      <c r="F373" s="13"/>
      <c r="G373" s="75"/>
      <c r="H373" s="75"/>
      <c r="I373" s="75"/>
      <c r="J373" s="75"/>
      <c r="K373" s="75"/>
      <c r="L373" s="75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</row>
    <row r="374" spans="1:28" x14ac:dyDescent="0.2">
      <c r="A374" s="75">
        <v>373</v>
      </c>
      <c r="B374" s="22" t="s">
        <v>539</v>
      </c>
      <c r="C374" s="13" t="s">
        <v>18</v>
      </c>
      <c r="D374" s="23">
        <v>46220</v>
      </c>
      <c r="E374" s="75"/>
      <c r="F374" s="13"/>
      <c r="G374" s="75"/>
      <c r="H374" s="75"/>
      <c r="I374" s="75"/>
      <c r="J374" s="75"/>
      <c r="K374" s="75"/>
      <c r="L374" s="75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</row>
    <row r="375" spans="1:28" x14ac:dyDescent="0.2">
      <c r="A375" s="75">
        <v>374</v>
      </c>
      <c r="B375" s="22" t="s">
        <v>540</v>
      </c>
      <c r="C375" s="13" t="s">
        <v>18</v>
      </c>
      <c r="D375" s="23">
        <v>46225</v>
      </c>
      <c r="E375" s="75"/>
      <c r="F375" s="13"/>
      <c r="G375" s="75"/>
      <c r="H375" s="75"/>
      <c r="I375" s="75"/>
      <c r="J375" s="75"/>
      <c r="K375" s="75"/>
      <c r="L375" s="75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</row>
    <row r="376" spans="1:28" x14ac:dyDescent="0.2">
      <c r="A376" s="75">
        <v>375</v>
      </c>
      <c r="B376" s="22" t="s">
        <v>16</v>
      </c>
      <c r="C376" s="13" t="s">
        <v>18</v>
      </c>
      <c r="D376" s="23">
        <v>46236</v>
      </c>
      <c r="E376" s="75"/>
      <c r="F376" s="13"/>
      <c r="G376" s="75"/>
      <c r="H376" s="75"/>
      <c r="I376" s="75"/>
      <c r="J376" s="75"/>
      <c r="K376" s="75"/>
      <c r="L376" s="75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</row>
    <row r="377" spans="1:28" x14ac:dyDescent="0.2">
      <c r="A377" s="75">
        <v>376</v>
      </c>
      <c r="B377" s="22" t="s">
        <v>23</v>
      </c>
      <c r="C377" s="13" t="s">
        <v>18</v>
      </c>
      <c r="D377" s="23">
        <v>46243</v>
      </c>
      <c r="E377" s="75"/>
      <c r="F377" s="13"/>
      <c r="G377" s="75"/>
      <c r="H377" s="75"/>
      <c r="I377" s="75"/>
      <c r="J377" s="75"/>
      <c r="K377" s="75"/>
      <c r="L377" s="75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</row>
    <row r="378" spans="1:28" x14ac:dyDescent="0.2">
      <c r="A378" s="75">
        <v>377</v>
      </c>
      <c r="B378" s="22" t="s">
        <v>26</v>
      </c>
      <c r="C378" s="13" t="s">
        <v>18</v>
      </c>
      <c r="D378" s="23">
        <v>46243</v>
      </c>
      <c r="E378" s="75"/>
      <c r="F378" s="13"/>
      <c r="G378" s="75"/>
      <c r="H378" s="75"/>
      <c r="I378" s="75"/>
      <c r="J378" s="75"/>
      <c r="K378" s="75"/>
      <c r="L378" s="75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</row>
    <row r="379" spans="1:28" x14ac:dyDescent="0.2">
      <c r="A379" s="75">
        <v>378</v>
      </c>
      <c r="B379" s="22" t="s">
        <v>28</v>
      </c>
      <c r="C379" s="13" t="s">
        <v>18</v>
      </c>
      <c r="D379" s="23">
        <v>46246</v>
      </c>
      <c r="E379" s="75"/>
      <c r="F379" s="13"/>
      <c r="G379" s="75"/>
      <c r="H379" s="75"/>
      <c r="I379" s="75"/>
      <c r="J379" s="75"/>
      <c r="K379" s="75"/>
      <c r="L379" s="75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</row>
    <row r="380" spans="1:28" x14ac:dyDescent="0.2">
      <c r="A380" s="75">
        <v>379</v>
      </c>
      <c r="B380" s="22" t="s">
        <v>30</v>
      </c>
      <c r="C380" s="13" t="s">
        <v>18</v>
      </c>
      <c r="D380" s="23">
        <v>46246</v>
      </c>
      <c r="E380" s="75"/>
      <c r="F380" s="13"/>
      <c r="G380" s="75"/>
      <c r="H380" s="75"/>
      <c r="I380" s="75"/>
      <c r="J380" s="75"/>
      <c r="K380" s="75"/>
      <c r="L380" s="75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</row>
    <row r="381" spans="1:28" x14ac:dyDescent="0.2">
      <c r="A381" s="75">
        <v>380</v>
      </c>
      <c r="B381" s="22" t="s">
        <v>34</v>
      </c>
      <c r="C381" s="13" t="s">
        <v>18</v>
      </c>
      <c r="D381" s="23">
        <v>46248</v>
      </c>
      <c r="E381" s="75"/>
      <c r="F381" s="13"/>
      <c r="G381" s="75"/>
      <c r="H381" s="75"/>
      <c r="I381" s="75"/>
      <c r="J381" s="75"/>
      <c r="K381" s="75"/>
      <c r="L381" s="75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</row>
    <row r="382" spans="1:28" x14ac:dyDescent="0.2">
      <c r="A382" s="75">
        <v>381</v>
      </c>
      <c r="B382" s="22" t="s">
        <v>36</v>
      </c>
      <c r="C382" s="13" t="s">
        <v>18</v>
      </c>
      <c r="D382" s="23">
        <v>46250</v>
      </c>
      <c r="E382" s="75"/>
      <c r="F382" s="13"/>
      <c r="G382" s="75"/>
      <c r="H382" s="75"/>
      <c r="I382" s="75"/>
      <c r="J382" s="75"/>
      <c r="K382" s="75"/>
      <c r="L382" s="75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</row>
    <row r="383" spans="1:28" x14ac:dyDescent="0.2">
      <c r="A383" s="75">
        <v>382</v>
      </c>
      <c r="B383" s="22" t="s">
        <v>40</v>
      </c>
      <c r="C383" s="13" t="s">
        <v>18</v>
      </c>
      <c r="D383" s="23">
        <v>46253</v>
      </c>
      <c r="E383" s="75"/>
      <c r="F383" s="13"/>
      <c r="G383" s="75"/>
      <c r="H383" s="75"/>
      <c r="I383" s="75"/>
      <c r="J383" s="75"/>
      <c r="K383" s="75"/>
      <c r="L383" s="75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</row>
    <row r="384" spans="1:28" x14ac:dyDescent="0.2">
      <c r="A384" s="75">
        <v>383</v>
      </c>
      <c r="B384" s="22" t="s">
        <v>43</v>
      </c>
      <c r="C384" s="13" t="s">
        <v>18</v>
      </c>
      <c r="D384" s="23">
        <v>46259</v>
      </c>
      <c r="E384" s="75"/>
      <c r="F384" s="13"/>
      <c r="G384" s="75"/>
      <c r="H384" s="75"/>
      <c r="I384" s="75"/>
      <c r="J384" s="75"/>
      <c r="K384" s="75"/>
      <c r="L384" s="75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</row>
    <row r="385" spans="1:28" x14ac:dyDescent="0.2">
      <c r="A385" s="75">
        <v>384</v>
      </c>
      <c r="B385" s="22" t="s">
        <v>47</v>
      </c>
      <c r="C385" s="13" t="s">
        <v>18</v>
      </c>
      <c r="D385" s="23">
        <v>46262</v>
      </c>
      <c r="E385" s="75"/>
      <c r="F385" s="13"/>
      <c r="G385" s="75"/>
      <c r="H385" s="75"/>
      <c r="I385" s="75"/>
      <c r="J385" s="75"/>
      <c r="K385" s="75"/>
      <c r="L385" s="75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New Heading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2026-09-23T12:03:18Z</dcterms:created>
  <dcterms:modified xsi:type="dcterms:W3CDTF">2026-10-25T08:34:45Z</dcterms:modified>
</cp:coreProperties>
</file>